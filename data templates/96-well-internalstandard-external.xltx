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sampso/Documents/Data Display Project/Python version/HTE-Data-Visualization-in-R/"/>
    </mc:Choice>
  </mc:AlternateContent>
  <xr:revisionPtr revIDLastSave="0" documentId="13_ncr:1_{B7800863-111B-814D-98BB-E2456527F2E9}" xr6:coauthVersionLast="47" xr6:coauthVersionMax="47" xr10:uidLastSave="{00000000-0000-0000-0000-000000000000}"/>
  <bookViews>
    <workbookView xWindow="260" yWindow="500" windowWidth="27000" windowHeight="14280" xr2:uid="{DB5D97BB-243D-324B-947A-19FD4CBE2286}"/>
  </bookViews>
  <sheets>
    <sheet name="Plate Planning" sheetId="1" r:id="rId1"/>
    <sheet name="Reagents" sheetId="2" r:id="rId2"/>
    <sheet name="Stock Solution Calculator" sheetId="5" r:id="rId3"/>
    <sheet name="Calibration Curves" sheetId="4" r:id="rId4"/>
    <sheet name="Uncorrected Area Counts" sheetId="3" r:id="rId5"/>
    <sheet name="Yields" sheetId="12" r:id="rId6"/>
    <sheet name="Plate Summary" sheetId="8" r:id="rId7"/>
  </sheets>
  <definedNames>
    <definedName name="reaction_scale">'Plate Planning'!$H$24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87" i="8" l="1"/>
  <c r="AM88" i="8"/>
  <c r="AM89" i="8"/>
  <c r="AM90" i="8"/>
  <c r="AM91" i="8"/>
  <c r="AM92" i="8"/>
  <c r="AM93" i="8"/>
  <c r="AM94" i="8"/>
  <c r="AM95" i="8"/>
  <c r="AM96" i="8"/>
  <c r="AM97" i="8"/>
  <c r="AM86" i="8"/>
  <c r="AM75" i="8"/>
  <c r="AM76" i="8"/>
  <c r="AM77" i="8"/>
  <c r="AM78" i="8"/>
  <c r="AM79" i="8"/>
  <c r="AM80" i="8"/>
  <c r="AM81" i="8"/>
  <c r="AM82" i="8"/>
  <c r="AM83" i="8"/>
  <c r="AM84" i="8"/>
  <c r="AM85" i="8"/>
  <c r="AM74" i="8"/>
  <c r="AM63" i="8"/>
  <c r="AM64" i="8"/>
  <c r="AM65" i="8"/>
  <c r="AM66" i="8"/>
  <c r="AM67" i="8"/>
  <c r="AM68" i="8"/>
  <c r="AM69" i="8"/>
  <c r="AM70" i="8"/>
  <c r="AM71" i="8"/>
  <c r="AM72" i="8"/>
  <c r="AM73" i="8"/>
  <c r="AM62" i="8"/>
  <c r="AM51" i="8"/>
  <c r="AM52" i="8"/>
  <c r="AM53" i="8"/>
  <c r="AM54" i="8"/>
  <c r="AM55" i="8"/>
  <c r="AM56" i="8"/>
  <c r="AM57" i="8"/>
  <c r="AM58" i="8"/>
  <c r="AM59" i="8"/>
  <c r="AM60" i="8"/>
  <c r="AM61" i="8"/>
  <c r="AM50" i="8"/>
  <c r="AM39" i="8"/>
  <c r="AM40" i="8"/>
  <c r="AM41" i="8"/>
  <c r="AM42" i="8"/>
  <c r="AM43" i="8"/>
  <c r="AM44" i="8"/>
  <c r="AM45" i="8"/>
  <c r="AM46" i="8"/>
  <c r="AM47" i="8"/>
  <c r="AM48" i="8"/>
  <c r="AM49" i="8"/>
  <c r="AM38" i="8"/>
  <c r="AM27" i="8"/>
  <c r="AM28" i="8"/>
  <c r="AM29" i="8"/>
  <c r="AM30" i="8"/>
  <c r="AM31" i="8"/>
  <c r="AM32" i="8"/>
  <c r="AM33" i="8"/>
  <c r="AM34" i="8"/>
  <c r="AM35" i="8"/>
  <c r="AM36" i="8"/>
  <c r="AM37" i="8"/>
  <c r="AM26" i="8"/>
  <c r="AM15" i="8"/>
  <c r="AM16" i="8"/>
  <c r="AM17" i="8"/>
  <c r="AM18" i="8"/>
  <c r="AM19" i="8"/>
  <c r="AM20" i="8"/>
  <c r="AM21" i="8"/>
  <c r="AM22" i="8"/>
  <c r="AM23" i="8"/>
  <c r="AM24" i="8"/>
  <c r="AM25" i="8"/>
  <c r="AM14" i="8"/>
  <c r="AP87" i="8"/>
  <c r="AP88" i="8"/>
  <c r="AP89" i="8"/>
  <c r="AP90" i="8"/>
  <c r="AP91" i="8"/>
  <c r="AP92" i="8"/>
  <c r="AP93" i="8"/>
  <c r="AP94" i="8"/>
  <c r="AP95" i="8"/>
  <c r="AP96" i="8"/>
  <c r="AP97" i="8"/>
  <c r="AP86" i="8"/>
  <c r="AP75" i="8"/>
  <c r="AP76" i="8"/>
  <c r="AP77" i="8"/>
  <c r="AP78" i="8"/>
  <c r="AP79" i="8"/>
  <c r="AP80" i="8"/>
  <c r="AP81" i="8"/>
  <c r="AP82" i="8"/>
  <c r="AP83" i="8"/>
  <c r="AP84" i="8"/>
  <c r="AP85" i="8"/>
  <c r="AP74" i="8"/>
  <c r="AP63" i="8"/>
  <c r="AP64" i="8"/>
  <c r="AP65" i="8"/>
  <c r="AP66" i="8"/>
  <c r="AP67" i="8"/>
  <c r="AP68" i="8"/>
  <c r="AP69" i="8"/>
  <c r="AP70" i="8"/>
  <c r="AP71" i="8"/>
  <c r="AP72" i="8"/>
  <c r="AP73" i="8"/>
  <c r="AP62" i="8"/>
  <c r="AP51" i="8"/>
  <c r="AP52" i="8"/>
  <c r="AP53" i="8"/>
  <c r="AP54" i="8"/>
  <c r="AP55" i="8"/>
  <c r="AP56" i="8"/>
  <c r="AP57" i="8"/>
  <c r="AP58" i="8"/>
  <c r="AP59" i="8"/>
  <c r="AP60" i="8"/>
  <c r="AP61" i="8"/>
  <c r="AP50" i="8"/>
  <c r="AP39" i="8"/>
  <c r="AP40" i="8"/>
  <c r="AP41" i="8"/>
  <c r="AP42" i="8"/>
  <c r="AP43" i="8"/>
  <c r="AP44" i="8"/>
  <c r="AP45" i="8"/>
  <c r="AP46" i="8"/>
  <c r="AP47" i="8"/>
  <c r="AP48" i="8"/>
  <c r="AP49" i="8"/>
  <c r="AP38" i="8"/>
  <c r="AP27" i="8"/>
  <c r="AP28" i="8"/>
  <c r="AP29" i="8"/>
  <c r="AP30" i="8"/>
  <c r="AP31" i="8"/>
  <c r="AP32" i="8"/>
  <c r="AP33" i="8"/>
  <c r="AP34" i="8"/>
  <c r="AP35" i="8"/>
  <c r="AP36" i="8"/>
  <c r="AP37" i="8"/>
  <c r="AP26" i="8"/>
  <c r="AP15" i="8"/>
  <c r="AP16" i="8"/>
  <c r="AP17" i="8"/>
  <c r="AP18" i="8"/>
  <c r="AP19" i="8"/>
  <c r="AP20" i="8"/>
  <c r="AP21" i="8"/>
  <c r="AP22" i="8"/>
  <c r="AP23" i="8"/>
  <c r="AP24" i="8"/>
  <c r="AP25" i="8"/>
  <c r="AP14" i="8"/>
  <c r="AP3" i="8"/>
  <c r="AP4" i="8"/>
  <c r="AP5" i="8"/>
  <c r="AP6" i="8"/>
  <c r="AP7" i="8"/>
  <c r="AP8" i="8"/>
  <c r="AP9" i="8"/>
  <c r="AP10" i="8"/>
  <c r="AP11" i="8"/>
  <c r="AP12" i="8"/>
  <c r="AP13" i="8"/>
  <c r="BH3" i="8" l="1"/>
  <c r="BI3" i="8"/>
  <c r="BJ3" i="8"/>
  <c r="BK3" i="8"/>
  <c r="BL3" i="8"/>
  <c r="BM3" i="8"/>
  <c r="BN3" i="8"/>
  <c r="BO3" i="8"/>
  <c r="BP3" i="8"/>
  <c r="BQ3" i="8"/>
  <c r="BR3" i="8"/>
  <c r="BS3" i="8"/>
  <c r="BH4" i="8"/>
  <c r="BI4" i="8"/>
  <c r="BJ4" i="8"/>
  <c r="BK4" i="8"/>
  <c r="BL4" i="8"/>
  <c r="BM4" i="8"/>
  <c r="BN4" i="8"/>
  <c r="BO4" i="8"/>
  <c r="BP4" i="8"/>
  <c r="BQ4" i="8"/>
  <c r="BR4" i="8"/>
  <c r="BS4" i="8"/>
  <c r="BH5" i="8"/>
  <c r="BI5" i="8"/>
  <c r="BJ5" i="8"/>
  <c r="BK5" i="8"/>
  <c r="BL5" i="8"/>
  <c r="BM5" i="8"/>
  <c r="BN5" i="8"/>
  <c r="BO5" i="8"/>
  <c r="BP5" i="8"/>
  <c r="BQ5" i="8"/>
  <c r="BR5" i="8"/>
  <c r="BS5" i="8"/>
  <c r="BH6" i="8"/>
  <c r="BI6" i="8"/>
  <c r="BJ6" i="8"/>
  <c r="BK6" i="8"/>
  <c r="BL6" i="8"/>
  <c r="BM6" i="8"/>
  <c r="BN6" i="8"/>
  <c r="BO6" i="8"/>
  <c r="BP6" i="8"/>
  <c r="BQ6" i="8"/>
  <c r="BR6" i="8"/>
  <c r="BS6" i="8"/>
  <c r="BH7" i="8"/>
  <c r="BI7" i="8"/>
  <c r="BJ7" i="8"/>
  <c r="BK7" i="8"/>
  <c r="BL7" i="8"/>
  <c r="BM7" i="8"/>
  <c r="BN7" i="8"/>
  <c r="BO7" i="8"/>
  <c r="BP7" i="8"/>
  <c r="BQ7" i="8"/>
  <c r="BR7" i="8"/>
  <c r="BS7" i="8"/>
  <c r="BH8" i="8"/>
  <c r="BI8" i="8"/>
  <c r="BJ8" i="8"/>
  <c r="BK8" i="8"/>
  <c r="BL8" i="8"/>
  <c r="BM8" i="8"/>
  <c r="BN8" i="8"/>
  <c r="BO8" i="8"/>
  <c r="BP8" i="8"/>
  <c r="BQ8" i="8"/>
  <c r="BR8" i="8"/>
  <c r="BS8" i="8"/>
  <c r="BH9" i="8"/>
  <c r="BI9" i="8"/>
  <c r="BJ9" i="8"/>
  <c r="BK9" i="8"/>
  <c r="BL9" i="8"/>
  <c r="BM9" i="8"/>
  <c r="BN9" i="8"/>
  <c r="BO9" i="8"/>
  <c r="BP9" i="8"/>
  <c r="BQ9" i="8"/>
  <c r="BR9" i="8"/>
  <c r="BS9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H65" i="8"/>
  <c r="BI65" i="8"/>
  <c r="BJ65" i="8"/>
  <c r="BK65" i="8"/>
  <c r="BL65" i="8"/>
  <c r="BM65" i="8"/>
  <c r="BN65" i="8"/>
  <c r="BO65" i="8"/>
  <c r="BP65" i="8"/>
  <c r="BQ65" i="8"/>
  <c r="BR65" i="8"/>
  <c r="BS65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H97" i="8"/>
  <c r="BI97" i="8"/>
  <c r="BJ97" i="8"/>
  <c r="BK97" i="8"/>
  <c r="BL97" i="8"/>
  <c r="BM97" i="8"/>
  <c r="BN97" i="8"/>
  <c r="BO97" i="8"/>
  <c r="BP97" i="8"/>
  <c r="BQ97" i="8"/>
  <c r="BR97" i="8"/>
  <c r="BS97" i="8"/>
  <c r="BS2" i="8"/>
  <c r="BR2" i="8"/>
  <c r="BO2" i="8"/>
  <c r="BN2" i="8"/>
  <c r="BK2" i="8"/>
  <c r="BJ2" i="8"/>
  <c r="BQ2" i="8"/>
  <c r="BP2" i="8"/>
  <c r="BM2" i="8"/>
  <c r="BL2" i="8"/>
  <c r="BI2" i="8"/>
  <c r="BH2" i="8"/>
  <c r="BT3" i="8"/>
  <c r="BU3" i="8"/>
  <c r="BV3" i="8"/>
  <c r="BT4" i="8"/>
  <c r="BU4" i="8"/>
  <c r="BV4" i="8"/>
  <c r="BT5" i="8"/>
  <c r="BU5" i="8"/>
  <c r="BV5" i="8"/>
  <c r="BT6" i="8"/>
  <c r="BU6" i="8"/>
  <c r="BV6" i="8"/>
  <c r="BT7" i="8"/>
  <c r="BU7" i="8"/>
  <c r="BV7" i="8"/>
  <c r="BT8" i="8"/>
  <c r="BU8" i="8"/>
  <c r="BV8" i="8"/>
  <c r="BT9" i="8"/>
  <c r="BU9" i="8"/>
  <c r="BV9" i="8"/>
  <c r="BT10" i="8"/>
  <c r="BU10" i="8"/>
  <c r="BV10" i="8"/>
  <c r="BT11" i="8"/>
  <c r="BU11" i="8"/>
  <c r="BV11" i="8"/>
  <c r="BT12" i="8"/>
  <c r="BU12" i="8"/>
  <c r="BV12" i="8"/>
  <c r="BT13" i="8"/>
  <c r="BU13" i="8"/>
  <c r="BV13" i="8"/>
  <c r="BT14" i="8"/>
  <c r="BU14" i="8"/>
  <c r="BV14" i="8"/>
  <c r="BT15" i="8"/>
  <c r="BU15" i="8"/>
  <c r="BV15" i="8"/>
  <c r="BT16" i="8"/>
  <c r="BU16" i="8"/>
  <c r="BV16" i="8"/>
  <c r="BT17" i="8"/>
  <c r="BU17" i="8"/>
  <c r="BV17" i="8"/>
  <c r="BT18" i="8"/>
  <c r="BU18" i="8"/>
  <c r="BV18" i="8"/>
  <c r="BT19" i="8"/>
  <c r="BU19" i="8"/>
  <c r="BV19" i="8"/>
  <c r="BT20" i="8"/>
  <c r="BU20" i="8"/>
  <c r="BV20" i="8"/>
  <c r="BT21" i="8"/>
  <c r="BU21" i="8"/>
  <c r="BV21" i="8"/>
  <c r="BT22" i="8"/>
  <c r="BU22" i="8"/>
  <c r="BV22" i="8"/>
  <c r="BT23" i="8"/>
  <c r="BU23" i="8"/>
  <c r="BV23" i="8"/>
  <c r="BT24" i="8"/>
  <c r="BU24" i="8"/>
  <c r="BV24" i="8"/>
  <c r="BT25" i="8"/>
  <c r="BU25" i="8"/>
  <c r="BV25" i="8"/>
  <c r="BT26" i="8"/>
  <c r="BU26" i="8"/>
  <c r="BV26" i="8"/>
  <c r="BT27" i="8"/>
  <c r="BU27" i="8"/>
  <c r="BV27" i="8"/>
  <c r="BT28" i="8"/>
  <c r="BU28" i="8"/>
  <c r="BV28" i="8"/>
  <c r="BT29" i="8"/>
  <c r="BU29" i="8"/>
  <c r="BV29" i="8"/>
  <c r="BT30" i="8"/>
  <c r="BU30" i="8"/>
  <c r="BV30" i="8"/>
  <c r="BT31" i="8"/>
  <c r="BU31" i="8"/>
  <c r="BV31" i="8"/>
  <c r="BT32" i="8"/>
  <c r="BU32" i="8"/>
  <c r="BV32" i="8"/>
  <c r="BT33" i="8"/>
  <c r="BU33" i="8"/>
  <c r="BV33" i="8"/>
  <c r="BT34" i="8"/>
  <c r="BU34" i="8"/>
  <c r="BV34" i="8"/>
  <c r="BT35" i="8"/>
  <c r="BU35" i="8"/>
  <c r="BV35" i="8"/>
  <c r="BT36" i="8"/>
  <c r="BU36" i="8"/>
  <c r="BV36" i="8"/>
  <c r="BT37" i="8"/>
  <c r="BU37" i="8"/>
  <c r="BV37" i="8"/>
  <c r="BT38" i="8"/>
  <c r="BU38" i="8"/>
  <c r="BV38" i="8"/>
  <c r="BT39" i="8"/>
  <c r="BU39" i="8"/>
  <c r="BV39" i="8"/>
  <c r="BT40" i="8"/>
  <c r="BU40" i="8"/>
  <c r="BV40" i="8"/>
  <c r="BT41" i="8"/>
  <c r="BU41" i="8"/>
  <c r="BV41" i="8"/>
  <c r="BT42" i="8"/>
  <c r="BU42" i="8"/>
  <c r="BV42" i="8"/>
  <c r="BT43" i="8"/>
  <c r="BU43" i="8"/>
  <c r="BV43" i="8"/>
  <c r="BT44" i="8"/>
  <c r="BU44" i="8"/>
  <c r="BV44" i="8"/>
  <c r="BT45" i="8"/>
  <c r="BU45" i="8"/>
  <c r="BV45" i="8"/>
  <c r="BT46" i="8"/>
  <c r="BU46" i="8"/>
  <c r="BV46" i="8"/>
  <c r="BT47" i="8"/>
  <c r="BU47" i="8"/>
  <c r="BV47" i="8"/>
  <c r="BT48" i="8"/>
  <c r="BU48" i="8"/>
  <c r="BV48" i="8"/>
  <c r="BT49" i="8"/>
  <c r="BU49" i="8"/>
  <c r="BV49" i="8"/>
  <c r="BT50" i="8"/>
  <c r="BU50" i="8"/>
  <c r="BV50" i="8"/>
  <c r="BT51" i="8"/>
  <c r="BU51" i="8"/>
  <c r="BV51" i="8"/>
  <c r="BT52" i="8"/>
  <c r="BU52" i="8"/>
  <c r="BV52" i="8"/>
  <c r="BT53" i="8"/>
  <c r="BU53" i="8"/>
  <c r="BV53" i="8"/>
  <c r="BT54" i="8"/>
  <c r="BU54" i="8"/>
  <c r="BV54" i="8"/>
  <c r="BT55" i="8"/>
  <c r="BU55" i="8"/>
  <c r="BV55" i="8"/>
  <c r="BT56" i="8"/>
  <c r="BU56" i="8"/>
  <c r="BV56" i="8"/>
  <c r="BT57" i="8"/>
  <c r="BU57" i="8"/>
  <c r="BV57" i="8"/>
  <c r="BT58" i="8"/>
  <c r="BU58" i="8"/>
  <c r="BV58" i="8"/>
  <c r="BT59" i="8"/>
  <c r="BU59" i="8"/>
  <c r="BV59" i="8"/>
  <c r="BT60" i="8"/>
  <c r="BU60" i="8"/>
  <c r="BV60" i="8"/>
  <c r="BT61" i="8"/>
  <c r="BU61" i="8"/>
  <c r="BV61" i="8"/>
  <c r="BT62" i="8"/>
  <c r="BU62" i="8"/>
  <c r="BV62" i="8"/>
  <c r="BT63" i="8"/>
  <c r="BU63" i="8"/>
  <c r="BV63" i="8"/>
  <c r="BT64" i="8"/>
  <c r="BU64" i="8"/>
  <c r="BV64" i="8"/>
  <c r="BT65" i="8"/>
  <c r="BU65" i="8"/>
  <c r="BV65" i="8"/>
  <c r="BT66" i="8"/>
  <c r="BU66" i="8"/>
  <c r="BV66" i="8"/>
  <c r="BT67" i="8"/>
  <c r="BU67" i="8"/>
  <c r="BV67" i="8"/>
  <c r="BT68" i="8"/>
  <c r="BU68" i="8"/>
  <c r="BV68" i="8"/>
  <c r="BT69" i="8"/>
  <c r="BU69" i="8"/>
  <c r="BV69" i="8"/>
  <c r="BT70" i="8"/>
  <c r="BU70" i="8"/>
  <c r="BV70" i="8"/>
  <c r="BT71" i="8"/>
  <c r="BU71" i="8"/>
  <c r="BV71" i="8"/>
  <c r="BT72" i="8"/>
  <c r="BU72" i="8"/>
  <c r="BV72" i="8"/>
  <c r="BT73" i="8"/>
  <c r="BU73" i="8"/>
  <c r="BV73" i="8"/>
  <c r="BT74" i="8"/>
  <c r="BU74" i="8"/>
  <c r="BV74" i="8"/>
  <c r="BT75" i="8"/>
  <c r="BU75" i="8"/>
  <c r="BV75" i="8"/>
  <c r="BT76" i="8"/>
  <c r="BU76" i="8"/>
  <c r="BV76" i="8"/>
  <c r="BT77" i="8"/>
  <c r="BU77" i="8"/>
  <c r="BV77" i="8"/>
  <c r="BT78" i="8"/>
  <c r="BU78" i="8"/>
  <c r="BV78" i="8"/>
  <c r="BT79" i="8"/>
  <c r="BU79" i="8"/>
  <c r="BV79" i="8"/>
  <c r="BT80" i="8"/>
  <c r="BU80" i="8"/>
  <c r="BV80" i="8"/>
  <c r="BT81" i="8"/>
  <c r="BU81" i="8"/>
  <c r="BV81" i="8"/>
  <c r="BT82" i="8"/>
  <c r="BU82" i="8"/>
  <c r="BV82" i="8"/>
  <c r="BT83" i="8"/>
  <c r="BU83" i="8"/>
  <c r="BV83" i="8"/>
  <c r="BT84" i="8"/>
  <c r="BU84" i="8"/>
  <c r="BV84" i="8"/>
  <c r="BT85" i="8"/>
  <c r="BU85" i="8"/>
  <c r="BV85" i="8"/>
  <c r="BT86" i="8"/>
  <c r="BU86" i="8"/>
  <c r="BV86" i="8"/>
  <c r="BT87" i="8"/>
  <c r="BU87" i="8"/>
  <c r="BV87" i="8"/>
  <c r="BT88" i="8"/>
  <c r="BU88" i="8"/>
  <c r="BV88" i="8"/>
  <c r="BT89" i="8"/>
  <c r="BU89" i="8"/>
  <c r="BV89" i="8"/>
  <c r="BT90" i="8"/>
  <c r="BU90" i="8"/>
  <c r="BV90" i="8"/>
  <c r="BT91" i="8"/>
  <c r="BU91" i="8"/>
  <c r="BV91" i="8"/>
  <c r="BT92" i="8"/>
  <c r="BU92" i="8"/>
  <c r="BV92" i="8"/>
  <c r="BT93" i="8"/>
  <c r="BU93" i="8"/>
  <c r="BV93" i="8"/>
  <c r="BT94" i="8"/>
  <c r="BU94" i="8"/>
  <c r="BV94" i="8"/>
  <c r="BT95" i="8"/>
  <c r="BU95" i="8"/>
  <c r="BV95" i="8"/>
  <c r="BT96" i="8"/>
  <c r="BU96" i="8"/>
  <c r="BV96" i="8"/>
  <c r="BT97" i="8"/>
  <c r="BU97" i="8"/>
  <c r="BV97" i="8"/>
  <c r="BU2" i="8"/>
  <c r="BT2" i="8"/>
  <c r="BV2" i="8"/>
  <c r="AZ3" i="8"/>
  <c r="BA3" i="8"/>
  <c r="BB3" i="8"/>
  <c r="BC3" i="8"/>
  <c r="BD3" i="8"/>
  <c r="BE3" i="8"/>
  <c r="BF3" i="8"/>
  <c r="BG3" i="8"/>
  <c r="AZ4" i="8"/>
  <c r="BA4" i="8"/>
  <c r="BB4" i="8"/>
  <c r="BC4" i="8"/>
  <c r="BD4" i="8"/>
  <c r="BE4" i="8"/>
  <c r="BF4" i="8"/>
  <c r="BG4" i="8"/>
  <c r="AZ5" i="8"/>
  <c r="BA5" i="8"/>
  <c r="BB5" i="8"/>
  <c r="BC5" i="8"/>
  <c r="BD5" i="8"/>
  <c r="BE5" i="8"/>
  <c r="BF5" i="8"/>
  <c r="BG5" i="8"/>
  <c r="AZ6" i="8"/>
  <c r="BA6" i="8"/>
  <c r="BB6" i="8"/>
  <c r="BC6" i="8"/>
  <c r="BD6" i="8"/>
  <c r="BE6" i="8"/>
  <c r="BF6" i="8"/>
  <c r="BG6" i="8"/>
  <c r="AZ7" i="8"/>
  <c r="BA7" i="8"/>
  <c r="BB7" i="8"/>
  <c r="BC7" i="8"/>
  <c r="BD7" i="8"/>
  <c r="BE7" i="8"/>
  <c r="BF7" i="8"/>
  <c r="BG7" i="8"/>
  <c r="AZ8" i="8"/>
  <c r="BA8" i="8"/>
  <c r="BB8" i="8"/>
  <c r="BC8" i="8"/>
  <c r="BD8" i="8"/>
  <c r="BE8" i="8"/>
  <c r="BF8" i="8"/>
  <c r="BG8" i="8"/>
  <c r="AZ9" i="8"/>
  <c r="BA9" i="8"/>
  <c r="BB9" i="8"/>
  <c r="BC9" i="8"/>
  <c r="BD9" i="8"/>
  <c r="BE9" i="8"/>
  <c r="BF9" i="8"/>
  <c r="BG9" i="8"/>
  <c r="AZ10" i="8"/>
  <c r="BA10" i="8"/>
  <c r="BB10" i="8"/>
  <c r="BC10" i="8"/>
  <c r="BD10" i="8"/>
  <c r="BE10" i="8"/>
  <c r="BF10" i="8"/>
  <c r="BG10" i="8"/>
  <c r="AZ11" i="8"/>
  <c r="BA11" i="8"/>
  <c r="BB11" i="8"/>
  <c r="BC11" i="8"/>
  <c r="BD11" i="8"/>
  <c r="BE11" i="8"/>
  <c r="BF11" i="8"/>
  <c r="BG11" i="8"/>
  <c r="AZ12" i="8"/>
  <c r="BA12" i="8"/>
  <c r="BB12" i="8"/>
  <c r="BC12" i="8"/>
  <c r="BD12" i="8"/>
  <c r="BE12" i="8"/>
  <c r="BF12" i="8"/>
  <c r="BG12" i="8"/>
  <c r="AZ13" i="8"/>
  <c r="BA13" i="8"/>
  <c r="BB13" i="8"/>
  <c r="BC13" i="8"/>
  <c r="BD13" i="8"/>
  <c r="BE13" i="8"/>
  <c r="BF13" i="8"/>
  <c r="BG13" i="8"/>
  <c r="AZ14" i="8"/>
  <c r="BA14" i="8"/>
  <c r="BB14" i="8"/>
  <c r="BC14" i="8"/>
  <c r="BD14" i="8"/>
  <c r="BE14" i="8"/>
  <c r="BF14" i="8"/>
  <c r="BG14" i="8"/>
  <c r="AZ15" i="8"/>
  <c r="BA15" i="8"/>
  <c r="BB15" i="8"/>
  <c r="BC15" i="8"/>
  <c r="BD15" i="8"/>
  <c r="BE15" i="8"/>
  <c r="BF15" i="8"/>
  <c r="BG15" i="8"/>
  <c r="AZ16" i="8"/>
  <c r="BA16" i="8"/>
  <c r="BB16" i="8"/>
  <c r="BC16" i="8"/>
  <c r="BD16" i="8"/>
  <c r="BE16" i="8"/>
  <c r="BF16" i="8"/>
  <c r="BG16" i="8"/>
  <c r="AZ17" i="8"/>
  <c r="BA17" i="8"/>
  <c r="BB17" i="8"/>
  <c r="BC17" i="8"/>
  <c r="BD17" i="8"/>
  <c r="BE17" i="8"/>
  <c r="BF17" i="8"/>
  <c r="BG17" i="8"/>
  <c r="AZ18" i="8"/>
  <c r="BA18" i="8"/>
  <c r="BB18" i="8"/>
  <c r="BC18" i="8"/>
  <c r="BD18" i="8"/>
  <c r="BE18" i="8"/>
  <c r="BF18" i="8"/>
  <c r="BG18" i="8"/>
  <c r="AZ19" i="8"/>
  <c r="BA19" i="8"/>
  <c r="BB19" i="8"/>
  <c r="BC19" i="8"/>
  <c r="BD19" i="8"/>
  <c r="BE19" i="8"/>
  <c r="BF19" i="8"/>
  <c r="BG19" i="8"/>
  <c r="AZ20" i="8"/>
  <c r="BA20" i="8"/>
  <c r="BB20" i="8"/>
  <c r="BC20" i="8"/>
  <c r="BD20" i="8"/>
  <c r="BE20" i="8"/>
  <c r="BF20" i="8"/>
  <c r="BG20" i="8"/>
  <c r="AZ21" i="8"/>
  <c r="BA21" i="8"/>
  <c r="BB21" i="8"/>
  <c r="BC21" i="8"/>
  <c r="BD21" i="8"/>
  <c r="BE21" i="8"/>
  <c r="BF21" i="8"/>
  <c r="BG21" i="8"/>
  <c r="AZ22" i="8"/>
  <c r="BA22" i="8"/>
  <c r="BB22" i="8"/>
  <c r="BC22" i="8"/>
  <c r="BD22" i="8"/>
  <c r="BE22" i="8"/>
  <c r="BF22" i="8"/>
  <c r="BG22" i="8"/>
  <c r="AZ23" i="8"/>
  <c r="BA23" i="8"/>
  <c r="BB23" i="8"/>
  <c r="BC23" i="8"/>
  <c r="BD23" i="8"/>
  <c r="BE23" i="8"/>
  <c r="BF23" i="8"/>
  <c r="BG23" i="8"/>
  <c r="AZ24" i="8"/>
  <c r="BA24" i="8"/>
  <c r="BB24" i="8"/>
  <c r="BC24" i="8"/>
  <c r="BD24" i="8"/>
  <c r="BE24" i="8"/>
  <c r="BF24" i="8"/>
  <c r="BG24" i="8"/>
  <c r="AZ25" i="8"/>
  <c r="BA25" i="8"/>
  <c r="BB25" i="8"/>
  <c r="BC25" i="8"/>
  <c r="BD25" i="8"/>
  <c r="BE25" i="8"/>
  <c r="BF25" i="8"/>
  <c r="BG25" i="8"/>
  <c r="AZ26" i="8"/>
  <c r="BA26" i="8"/>
  <c r="BB26" i="8"/>
  <c r="BC26" i="8"/>
  <c r="BD26" i="8"/>
  <c r="BE26" i="8"/>
  <c r="BF26" i="8"/>
  <c r="BG26" i="8"/>
  <c r="AZ27" i="8"/>
  <c r="BA27" i="8"/>
  <c r="BB27" i="8"/>
  <c r="BC27" i="8"/>
  <c r="BD27" i="8"/>
  <c r="BE27" i="8"/>
  <c r="BF27" i="8"/>
  <c r="BG27" i="8"/>
  <c r="AZ28" i="8"/>
  <c r="BA28" i="8"/>
  <c r="BB28" i="8"/>
  <c r="BC28" i="8"/>
  <c r="BD28" i="8"/>
  <c r="BE28" i="8"/>
  <c r="BF28" i="8"/>
  <c r="BG28" i="8"/>
  <c r="AZ29" i="8"/>
  <c r="BA29" i="8"/>
  <c r="BB29" i="8"/>
  <c r="BC29" i="8"/>
  <c r="BD29" i="8"/>
  <c r="BE29" i="8"/>
  <c r="BF29" i="8"/>
  <c r="BG29" i="8"/>
  <c r="AZ30" i="8"/>
  <c r="BA30" i="8"/>
  <c r="BB30" i="8"/>
  <c r="BC30" i="8"/>
  <c r="BD30" i="8"/>
  <c r="BE30" i="8"/>
  <c r="BF30" i="8"/>
  <c r="BG30" i="8"/>
  <c r="AZ31" i="8"/>
  <c r="BA31" i="8"/>
  <c r="BB31" i="8"/>
  <c r="BC31" i="8"/>
  <c r="BD31" i="8"/>
  <c r="BE31" i="8"/>
  <c r="BF31" i="8"/>
  <c r="BG31" i="8"/>
  <c r="AZ32" i="8"/>
  <c r="BA32" i="8"/>
  <c r="BB32" i="8"/>
  <c r="BC32" i="8"/>
  <c r="BD32" i="8"/>
  <c r="BE32" i="8"/>
  <c r="BF32" i="8"/>
  <c r="BG32" i="8"/>
  <c r="AZ33" i="8"/>
  <c r="BA33" i="8"/>
  <c r="BB33" i="8"/>
  <c r="BC33" i="8"/>
  <c r="BD33" i="8"/>
  <c r="BE33" i="8"/>
  <c r="BF33" i="8"/>
  <c r="BG33" i="8"/>
  <c r="AZ34" i="8"/>
  <c r="BA34" i="8"/>
  <c r="BB34" i="8"/>
  <c r="BC34" i="8"/>
  <c r="BD34" i="8"/>
  <c r="BE34" i="8"/>
  <c r="BF34" i="8"/>
  <c r="BG34" i="8"/>
  <c r="AZ35" i="8"/>
  <c r="BA35" i="8"/>
  <c r="BB35" i="8"/>
  <c r="BC35" i="8"/>
  <c r="BD35" i="8"/>
  <c r="BE35" i="8"/>
  <c r="BF35" i="8"/>
  <c r="BG35" i="8"/>
  <c r="AZ36" i="8"/>
  <c r="BA36" i="8"/>
  <c r="BB36" i="8"/>
  <c r="BC36" i="8"/>
  <c r="BD36" i="8"/>
  <c r="BE36" i="8"/>
  <c r="BF36" i="8"/>
  <c r="BG36" i="8"/>
  <c r="AZ37" i="8"/>
  <c r="BA37" i="8"/>
  <c r="BB37" i="8"/>
  <c r="BC37" i="8"/>
  <c r="BD37" i="8"/>
  <c r="BE37" i="8"/>
  <c r="BF37" i="8"/>
  <c r="BG37" i="8"/>
  <c r="AZ38" i="8"/>
  <c r="BA38" i="8"/>
  <c r="BB38" i="8"/>
  <c r="BC38" i="8"/>
  <c r="BD38" i="8"/>
  <c r="BE38" i="8"/>
  <c r="BF38" i="8"/>
  <c r="BG38" i="8"/>
  <c r="AZ39" i="8"/>
  <c r="BA39" i="8"/>
  <c r="BB39" i="8"/>
  <c r="BC39" i="8"/>
  <c r="BD39" i="8"/>
  <c r="BE39" i="8"/>
  <c r="BF39" i="8"/>
  <c r="BG39" i="8"/>
  <c r="AZ40" i="8"/>
  <c r="BA40" i="8"/>
  <c r="BB40" i="8"/>
  <c r="BC40" i="8"/>
  <c r="BD40" i="8"/>
  <c r="BE40" i="8"/>
  <c r="BF40" i="8"/>
  <c r="BG40" i="8"/>
  <c r="AZ41" i="8"/>
  <c r="BA41" i="8"/>
  <c r="BB41" i="8"/>
  <c r="BC41" i="8"/>
  <c r="BD41" i="8"/>
  <c r="BE41" i="8"/>
  <c r="BF41" i="8"/>
  <c r="BG41" i="8"/>
  <c r="AZ42" i="8"/>
  <c r="BA42" i="8"/>
  <c r="BB42" i="8"/>
  <c r="BC42" i="8"/>
  <c r="BD42" i="8"/>
  <c r="BE42" i="8"/>
  <c r="BF42" i="8"/>
  <c r="BG42" i="8"/>
  <c r="AZ43" i="8"/>
  <c r="BA43" i="8"/>
  <c r="BB43" i="8"/>
  <c r="BC43" i="8"/>
  <c r="BD43" i="8"/>
  <c r="BE43" i="8"/>
  <c r="BF43" i="8"/>
  <c r="BG43" i="8"/>
  <c r="AZ44" i="8"/>
  <c r="BA44" i="8"/>
  <c r="BB44" i="8"/>
  <c r="BC44" i="8"/>
  <c r="BD44" i="8"/>
  <c r="BE44" i="8"/>
  <c r="BF44" i="8"/>
  <c r="BG44" i="8"/>
  <c r="AZ45" i="8"/>
  <c r="BA45" i="8"/>
  <c r="BB45" i="8"/>
  <c r="BC45" i="8"/>
  <c r="BD45" i="8"/>
  <c r="BE45" i="8"/>
  <c r="BF45" i="8"/>
  <c r="BG45" i="8"/>
  <c r="AZ46" i="8"/>
  <c r="BA46" i="8"/>
  <c r="BB46" i="8"/>
  <c r="BC46" i="8"/>
  <c r="BD46" i="8"/>
  <c r="BE46" i="8"/>
  <c r="BF46" i="8"/>
  <c r="BG46" i="8"/>
  <c r="AZ47" i="8"/>
  <c r="BA47" i="8"/>
  <c r="BB47" i="8"/>
  <c r="BC47" i="8"/>
  <c r="BD47" i="8"/>
  <c r="BE47" i="8"/>
  <c r="BF47" i="8"/>
  <c r="BG47" i="8"/>
  <c r="AZ48" i="8"/>
  <c r="BA48" i="8"/>
  <c r="BB48" i="8"/>
  <c r="BC48" i="8"/>
  <c r="BD48" i="8"/>
  <c r="BE48" i="8"/>
  <c r="BF48" i="8"/>
  <c r="BG48" i="8"/>
  <c r="AZ49" i="8"/>
  <c r="BA49" i="8"/>
  <c r="BB49" i="8"/>
  <c r="BC49" i="8"/>
  <c r="BD49" i="8"/>
  <c r="BE49" i="8"/>
  <c r="BF49" i="8"/>
  <c r="BG49" i="8"/>
  <c r="AZ50" i="8"/>
  <c r="BA50" i="8"/>
  <c r="BB50" i="8"/>
  <c r="BC50" i="8"/>
  <c r="BD50" i="8"/>
  <c r="BE50" i="8"/>
  <c r="BF50" i="8"/>
  <c r="BG50" i="8"/>
  <c r="AZ51" i="8"/>
  <c r="BA51" i="8"/>
  <c r="BB51" i="8"/>
  <c r="BC51" i="8"/>
  <c r="BD51" i="8"/>
  <c r="BE51" i="8"/>
  <c r="BF51" i="8"/>
  <c r="BG51" i="8"/>
  <c r="AZ52" i="8"/>
  <c r="BA52" i="8"/>
  <c r="BB52" i="8"/>
  <c r="BC52" i="8"/>
  <c r="BD52" i="8"/>
  <c r="BE52" i="8"/>
  <c r="BF52" i="8"/>
  <c r="BG52" i="8"/>
  <c r="AZ53" i="8"/>
  <c r="BA53" i="8"/>
  <c r="BB53" i="8"/>
  <c r="BC53" i="8"/>
  <c r="BD53" i="8"/>
  <c r="BE53" i="8"/>
  <c r="BF53" i="8"/>
  <c r="BG53" i="8"/>
  <c r="AZ54" i="8"/>
  <c r="BA54" i="8"/>
  <c r="BB54" i="8"/>
  <c r="BC54" i="8"/>
  <c r="BD54" i="8"/>
  <c r="BE54" i="8"/>
  <c r="BF54" i="8"/>
  <c r="BG54" i="8"/>
  <c r="AZ55" i="8"/>
  <c r="BA55" i="8"/>
  <c r="BB55" i="8"/>
  <c r="BC55" i="8"/>
  <c r="BD55" i="8"/>
  <c r="BE55" i="8"/>
  <c r="BF55" i="8"/>
  <c r="BG55" i="8"/>
  <c r="AZ56" i="8"/>
  <c r="BA56" i="8"/>
  <c r="BB56" i="8"/>
  <c r="BC56" i="8"/>
  <c r="BD56" i="8"/>
  <c r="BE56" i="8"/>
  <c r="BF56" i="8"/>
  <c r="BG56" i="8"/>
  <c r="AZ57" i="8"/>
  <c r="BA57" i="8"/>
  <c r="BB57" i="8"/>
  <c r="BC57" i="8"/>
  <c r="BD57" i="8"/>
  <c r="BE57" i="8"/>
  <c r="BF57" i="8"/>
  <c r="BG57" i="8"/>
  <c r="AZ58" i="8"/>
  <c r="BA58" i="8"/>
  <c r="BB58" i="8"/>
  <c r="BC58" i="8"/>
  <c r="BD58" i="8"/>
  <c r="BE58" i="8"/>
  <c r="BF58" i="8"/>
  <c r="BG58" i="8"/>
  <c r="AZ59" i="8"/>
  <c r="BA59" i="8"/>
  <c r="BB59" i="8"/>
  <c r="BC59" i="8"/>
  <c r="BD59" i="8"/>
  <c r="BE59" i="8"/>
  <c r="BF59" i="8"/>
  <c r="BG59" i="8"/>
  <c r="AZ60" i="8"/>
  <c r="BA60" i="8"/>
  <c r="BB60" i="8"/>
  <c r="BC60" i="8"/>
  <c r="BD60" i="8"/>
  <c r="BE60" i="8"/>
  <c r="BF60" i="8"/>
  <c r="BG60" i="8"/>
  <c r="AZ61" i="8"/>
  <c r="BA61" i="8"/>
  <c r="BB61" i="8"/>
  <c r="BC61" i="8"/>
  <c r="BD61" i="8"/>
  <c r="BE61" i="8"/>
  <c r="BF61" i="8"/>
  <c r="BG61" i="8"/>
  <c r="AZ62" i="8"/>
  <c r="BA62" i="8"/>
  <c r="BB62" i="8"/>
  <c r="BC62" i="8"/>
  <c r="BD62" i="8"/>
  <c r="BE62" i="8"/>
  <c r="BF62" i="8"/>
  <c r="BG62" i="8"/>
  <c r="AZ63" i="8"/>
  <c r="BA63" i="8"/>
  <c r="BB63" i="8"/>
  <c r="BC63" i="8"/>
  <c r="BD63" i="8"/>
  <c r="BE63" i="8"/>
  <c r="BF63" i="8"/>
  <c r="BG63" i="8"/>
  <c r="AZ64" i="8"/>
  <c r="BA64" i="8"/>
  <c r="BB64" i="8"/>
  <c r="BC64" i="8"/>
  <c r="BD64" i="8"/>
  <c r="BE64" i="8"/>
  <c r="BF64" i="8"/>
  <c r="BG64" i="8"/>
  <c r="AZ65" i="8"/>
  <c r="BA65" i="8"/>
  <c r="BB65" i="8"/>
  <c r="BC65" i="8"/>
  <c r="BD65" i="8"/>
  <c r="BE65" i="8"/>
  <c r="BF65" i="8"/>
  <c r="BG65" i="8"/>
  <c r="AZ66" i="8"/>
  <c r="BA66" i="8"/>
  <c r="BB66" i="8"/>
  <c r="BC66" i="8"/>
  <c r="BD66" i="8"/>
  <c r="BE66" i="8"/>
  <c r="BF66" i="8"/>
  <c r="BG66" i="8"/>
  <c r="AZ67" i="8"/>
  <c r="BA67" i="8"/>
  <c r="BB67" i="8"/>
  <c r="BC67" i="8"/>
  <c r="BD67" i="8"/>
  <c r="BE67" i="8"/>
  <c r="BF67" i="8"/>
  <c r="BG67" i="8"/>
  <c r="AZ68" i="8"/>
  <c r="BA68" i="8"/>
  <c r="BB68" i="8"/>
  <c r="BC68" i="8"/>
  <c r="BD68" i="8"/>
  <c r="BE68" i="8"/>
  <c r="BF68" i="8"/>
  <c r="BG68" i="8"/>
  <c r="AZ69" i="8"/>
  <c r="BA69" i="8"/>
  <c r="BB69" i="8"/>
  <c r="BC69" i="8"/>
  <c r="BD69" i="8"/>
  <c r="BE69" i="8"/>
  <c r="BF69" i="8"/>
  <c r="BG69" i="8"/>
  <c r="AZ70" i="8"/>
  <c r="BA70" i="8"/>
  <c r="BB70" i="8"/>
  <c r="BC70" i="8"/>
  <c r="BD70" i="8"/>
  <c r="BE70" i="8"/>
  <c r="BF70" i="8"/>
  <c r="BG70" i="8"/>
  <c r="AZ71" i="8"/>
  <c r="BA71" i="8"/>
  <c r="BB71" i="8"/>
  <c r="BC71" i="8"/>
  <c r="BD71" i="8"/>
  <c r="BE71" i="8"/>
  <c r="BF71" i="8"/>
  <c r="BG71" i="8"/>
  <c r="AZ72" i="8"/>
  <c r="BA72" i="8"/>
  <c r="BB72" i="8"/>
  <c r="BC72" i="8"/>
  <c r="BD72" i="8"/>
  <c r="BE72" i="8"/>
  <c r="BF72" i="8"/>
  <c r="BG72" i="8"/>
  <c r="AZ73" i="8"/>
  <c r="BA73" i="8"/>
  <c r="BB73" i="8"/>
  <c r="BC73" i="8"/>
  <c r="BD73" i="8"/>
  <c r="BE73" i="8"/>
  <c r="BF73" i="8"/>
  <c r="BG73" i="8"/>
  <c r="AZ74" i="8"/>
  <c r="BA74" i="8"/>
  <c r="BB74" i="8"/>
  <c r="BC74" i="8"/>
  <c r="BD74" i="8"/>
  <c r="BE74" i="8"/>
  <c r="BF74" i="8"/>
  <c r="BG74" i="8"/>
  <c r="AZ75" i="8"/>
  <c r="BA75" i="8"/>
  <c r="BB75" i="8"/>
  <c r="BC75" i="8"/>
  <c r="BD75" i="8"/>
  <c r="BE75" i="8"/>
  <c r="BF75" i="8"/>
  <c r="BG75" i="8"/>
  <c r="AZ76" i="8"/>
  <c r="BA76" i="8"/>
  <c r="BB76" i="8"/>
  <c r="BC76" i="8"/>
  <c r="BD76" i="8"/>
  <c r="BE76" i="8"/>
  <c r="BF76" i="8"/>
  <c r="BG76" i="8"/>
  <c r="AZ77" i="8"/>
  <c r="BA77" i="8"/>
  <c r="BB77" i="8"/>
  <c r="BC77" i="8"/>
  <c r="BD77" i="8"/>
  <c r="BE77" i="8"/>
  <c r="BF77" i="8"/>
  <c r="BG77" i="8"/>
  <c r="AZ78" i="8"/>
  <c r="BA78" i="8"/>
  <c r="BB78" i="8"/>
  <c r="BC78" i="8"/>
  <c r="BD78" i="8"/>
  <c r="BE78" i="8"/>
  <c r="BF78" i="8"/>
  <c r="BG78" i="8"/>
  <c r="AZ79" i="8"/>
  <c r="BA79" i="8"/>
  <c r="BB79" i="8"/>
  <c r="BC79" i="8"/>
  <c r="BD79" i="8"/>
  <c r="BE79" i="8"/>
  <c r="BF79" i="8"/>
  <c r="BG79" i="8"/>
  <c r="AZ80" i="8"/>
  <c r="BA80" i="8"/>
  <c r="BB80" i="8"/>
  <c r="BC80" i="8"/>
  <c r="BD80" i="8"/>
  <c r="BE80" i="8"/>
  <c r="BF80" i="8"/>
  <c r="BG80" i="8"/>
  <c r="AZ81" i="8"/>
  <c r="BA81" i="8"/>
  <c r="BB81" i="8"/>
  <c r="BC81" i="8"/>
  <c r="BD81" i="8"/>
  <c r="BE81" i="8"/>
  <c r="BF81" i="8"/>
  <c r="BG81" i="8"/>
  <c r="AZ82" i="8"/>
  <c r="BA82" i="8"/>
  <c r="BB82" i="8"/>
  <c r="BC82" i="8"/>
  <c r="BD82" i="8"/>
  <c r="BE82" i="8"/>
  <c r="BF82" i="8"/>
  <c r="BG82" i="8"/>
  <c r="AZ83" i="8"/>
  <c r="BA83" i="8"/>
  <c r="BB83" i="8"/>
  <c r="BC83" i="8"/>
  <c r="BD83" i="8"/>
  <c r="BE83" i="8"/>
  <c r="BF83" i="8"/>
  <c r="BG83" i="8"/>
  <c r="AZ84" i="8"/>
  <c r="BA84" i="8"/>
  <c r="BB84" i="8"/>
  <c r="BC84" i="8"/>
  <c r="BD84" i="8"/>
  <c r="BE84" i="8"/>
  <c r="BF84" i="8"/>
  <c r="BG84" i="8"/>
  <c r="AZ85" i="8"/>
  <c r="BA85" i="8"/>
  <c r="BB85" i="8"/>
  <c r="BC85" i="8"/>
  <c r="BD85" i="8"/>
  <c r="BE85" i="8"/>
  <c r="BF85" i="8"/>
  <c r="BG85" i="8"/>
  <c r="AZ86" i="8"/>
  <c r="BA86" i="8"/>
  <c r="BB86" i="8"/>
  <c r="BC86" i="8"/>
  <c r="BD86" i="8"/>
  <c r="BE86" i="8"/>
  <c r="BF86" i="8"/>
  <c r="BG86" i="8"/>
  <c r="AZ87" i="8"/>
  <c r="BA87" i="8"/>
  <c r="BB87" i="8"/>
  <c r="BC87" i="8"/>
  <c r="BD87" i="8"/>
  <c r="BE87" i="8"/>
  <c r="BF87" i="8"/>
  <c r="BG87" i="8"/>
  <c r="AZ88" i="8"/>
  <c r="BA88" i="8"/>
  <c r="BB88" i="8"/>
  <c r="BC88" i="8"/>
  <c r="BD88" i="8"/>
  <c r="BE88" i="8"/>
  <c r="BF88" i="8"/>
  <c r="BG88" i="8"/>
  <c r="AZ89" i="8"/>
  <c r="BA89" i="8"/>
  <c r="BB89" i="8"/>
  <c r="BC89" i="8"/>
  <c r="BD89" i="8"/>
  <c r="BE89" i="8"/>
  <c r="BF89" i="8"/>
  <c r="BG89" i="8"/>
  <c r="AZ90" i="8"/>
  <c r="BA90" i="8"/>
  <c r="BB90" i="8"/>
  <c r="BC90" i="8"/>
  <c r="BD90" i="8"/>
  <c r="BE90" i="8"/>
  <c r="BF90" i="8"/>
  <c r="BG90" i="8"/>
  <c r="AZ91" i="8"/>
  <c r="BA91" i="8"/>
  <c r="BB91" i="8"/>
  <c r="BC91" i="8"/>
  <c r="BD91" i="8"/>
  <c r="BE91" i="8"/>
  <c r="BF91" i="8"/>
  <c r="BG91" i="8"/>
  <c r="AZ92" i="8"/>
  <c r="BA92" i="8"/>
  <c r="BB92" i="8"/>
  <c r="BC92" i="8"/>
  <c r="BD92" i="8"/>
  <c r="BE92" i="8"/>
  <c r="BF92" i="8"/>
  <c r="BG92" i="8"/>
  <c r="AZ93" i="8"/>
  <c r="BA93" i="8"/>
  <c r="BB93" i="8"/>
  <c r="BC93" i="8"/>
  <c r="BD93" i="8"/>
  <c r="BE93" i="8"/>
  <c r="BF93" i="8"/>
  <c r="BG93" i="8"/>
  <c r="AZ94" i="8"/>
  <c r="BA94" i="8"/>
  <c r="BB94" i="8"/>
  <c r="BC94" i="8"/>
  <c r="BD94" i="8"/>
  <c r="BE94" i="8"/>
  <c r="BF94" i="8"/>
  <c r="BG94" i="8"/>
  <c r="AZ95" i="8"/>
  <c r="BA95" i="8"/>
  <c r="BB95" i="8"/>
  <c r="BC95" i="8"/>
  <c r="BD95" i="8"/>
  <c r="BE95" i="8"/>
  <c r="BF95" i="8"/>
  <c r="BG95" i="8"/>
  <c r="AZ96" i="8"/>
  <c r="BA96" i="8"/>
  <c r="BB96" i="8"/>
  <c r="BC96" i="8"/>
  <c r="BD96" i="8"/>
  <c r="BE96" i="8"/>
  <c r="BF96" i="8"/>
  <c r="BG96" i="8"/>
  <c r="AZ97" i="8"/>
  <c r="BA97" i="8"/>
  <c r="BB97" i="8"/>
  <c r="BC97" i="8"/>
  <c r="BD97" i="8"/>
  <c r="BE97" i="8"/>
  <c r="BF97" i="8"/>
  <c r="BG97" i="8"/>
  <c r="BE2" i="8"/>
  <c r="BF2" i="8"/>
  <c r="BG2" i="8"/>
  <c r="BC2" i="8"/>
  <c r="BB2" i="8"/>
  <c r="BD2" i="8"/>
  <c r="BA2" i="8"/>
  <c r="AZ2" i="8"/>
  <c r="AV3" i="8"/>
  <c r="AW3" i="8"/>
  <c r="AX3" i="8"/>
  <c r="AY3" i="8"/>
  <c r="AV4" i="8"/>
  <c r="AW4" i="8"/>
  <c r="AX4" i="8"/>
  <c r="AY4" i="8"/>
  <c r="AV5" i="8"/>
  <c r="AW5" i="8"/>
  <c r="AX5" i="8"/>
  <c r="AY5" i="8"/>
  <c r="AV6" i="8"/>
  <c r="AW6" i="8"/>
  <c r="AX6" i="8"/>
  <c r="AY6" i="8"/>
  <c r="AV7" i="8"/>
  <c r="AW7" i="8"/>
  <c r="AX7" i="8"/>
  <c r="AY7" i="8"/>
  <c r="AV8" i="8"/>
  <c r="AW8" i="8"/>
  <c r="AX8" i="8"/>
  <c r="AY8" i="8"/>
  <c r="AV9" i="8"/>
  <c r="AW9" i="8"/>
  <c r="AX9" i="8"/>
  <c r="AY9" i="8"/>
  <c r="AV10" i="8"/>
  <c r="AW10" i="8"/>
  <c r="AX10" i="8"/>
  <c r="AY10" i="8"/>
  <c r="AV11" i="8"/>
  <c r="AW11" i="8"/>
  <c r="AX11" i="8"/>
  <c r="AY11" i="8"/>
  <c r="AV12" i="8"/>
  <c r="AW12" i="8"/>
  <c r="AX12" i="8"/>
  <c r="AY12" i="8"/>
  <c r="AV13" i="8"/>
  <c r="AW13" i="8"/>
  <c r="AX13" i="8"/>
  <c r="AY13" i="8"/>
  <c r="AV14" i="8"/>
  <c r="AW14" i="8"/>
  <c r="AX14" i="8"/>
  <c r="AY14" i="8"/>
  <c r="AV15" i="8"/>
  <c r="AW15" i="8"/>
  <c r="AX15" i="8"/>
  <c r="AY15" i="8"/>
  <c r="AV16" i="8"/>
  <c r="AW16" i="8"/>
  <c r="AX16" i="8"/>
  <c r="AY16" i="8"/>
  <c r="AV17" i="8"/>
  <c r="AW17" i="8"/>
  <c r="AX17" i="8"/>
  <c r="AY17" i="8"/>
  <c r="AV18" i="8"/>
  <c r="AW18" i="8"/>
  <c r="AX18" i="8"/>
  <c r="AY18" i="8"/>
  <c r="AV19" i="8"/>
  <c r="AW19" i="8"/>
  <c r="AX19" i="8"/>
  <c r="AY19" i="8"/>
  <c r="AV20" i="8"/>
  <c r="AW20" i="8"/>
  <c r="AX20" i="8"/>
  <c r="AY20" i="8"/>
  <c r="AV21" i="8"/>
  <c r="AW21" i="8"/>
  <c r="AX21" i="8"/>
  <c r="AY21" i="8"/>
  <c r="AV22" i="8"/>
  <c r="AW22" i="8"/>
  <c r="AX22" i="8"/>
  <c r="AY22" i="8"/>
  <c r="AV23" i="8"/>
  <c r="AW23" i="8"/>
  <c r="AX23" i="8"/>
  <c r="AY23" i="8"/>
  <c r="AV24" i="8"/>
  <c r="AW24" i="8"/>
  <c r="AX24" i="8"/>
  <c r="AY24" i="8"/>
  <c r="AV25" i="8"/>
  <c r="AW25" i="8"/>
  <c r="AX25" i="8"/>
  <c r="AY25" i="8"/>
  <c r="AV26" i="8"/>
  <c r="AW26" i="8"/>
  <c r="AX26" i="8"/>
  <c r="AY26" i="8"/>
  <c r="AV27" i="8"/>
  <c r="AW27" i="8"/>
  <c r="AX27" i="8"/>
  <c r="AY27" i="8"/>
  <c r="AV28" i="8"/>
  <c r="AW28" i="8"/>
  <c r="AX28" i="8"/>
  <c r="AY28" i="8"/>
  <c r="AV29" i="8"/>
  <c r="AW29" i="8"/>
  <c r="AX29" i="8"/>
  <c r="AY29" i="8"/>
  <c r="AV30" i="8"/>
  <c r="AW30" i="8"/>
  <c r="AX30" i="8"/>
  <c r="AY30" i="8"/>
  <c r="AV31" i="8"/>
  <c r="AW31" i="8"/>
  <c r="AX31" i="8"/>
  <c r="AY31" i="8"/>
  <c r="AV32" i="8"/>
  <c r="AW32" i="8"/>
  <c r="AX32" i="8"/>
  <c r="AY32" i="8"/>
  <c r="AV33" i="8"/>
  <c r="AW33" i="8"/>
  <c r="AX33" i="8"/>
  <c r="AY33" i="8"/>
  <c r="AV34" i="8"/>
  <c r="AW34" i="8"/>
  <c r="AX34" i="8"/>
  <c r="AY34" i="8"/>
  <c r="AV35" i="8"/>
  <c r="AW35" i="8"/>
  <c r="AX35" i="8"/>
  <c r="AY35" i="8"/>
  <c r="AV36" i="8"/>
  <c r="AW36" i="8"/>
  <c r="AX36" i="8"/>
  <c r="AY36" i="8"/>
  <c r="AV37" i="8"/>
  <c r="AW37" i="8"/>
  <c r="AX37" i="8"/>
  <c r="AY37" i="8"/>
  <c r="AV38" i="8"/>
  <c r="AW38" i="8"/>
  <c r="AX38" i="8"/>
  <c r="AY38" i="8"/>
  <c r="AV39" i="8"/>
  <c r="AW39" i="8"/>
  <c r="AX39" i="8"/>
  <c r="AY39" i="8"/>
  <c r="AV40" i="8"/>
  <c r="AW40" i="8"/>
  <c r="AX40" i="8"/>
  <c r="AY40" i="8"/>
  <c r="AV41" i="8"/>
  <c r="AW41" i="8"/>
  <c r="AX41" i="8"/>
  <c r="AY41" i="8"/>
  <c r="AV42" i="8"/>
  <c r="AW42" i="8"/>
  <c r="AX42" i="8"/>
  <c r="AY42" i="8"/>
  <c r="AV43" i="8"/>
  <c r="AW43" i="8"/>
  <c r="AX43" i="8"/>
  <c r="AY43" i="8"/>
  <c r="AV44" i="8"/>
  <c r="AW44" i="8"/>
  <c r="AX44" i="8"/>
  <c r="AY44" i="8"/>
  <c r="AV45" i="8"/>
  <c r="AW45" i="8"/>
  <c r="AX45" i="8"/>
  <c r="AY45" i="8"/>
  <c r="AV46" i="8"/>
  <c r="AW46" i="8"/>
  <c r="AX46" i="8"/>
  <c r="AY46" i="8"/>
  <c r="AV47" i="8"/>
  <c r="AW47" i="8"/>
  <c r="AX47" i="8"/>
  <c r="AY47" i="8"/>
  <c r="AV48" i="8"/>
  <c r="AW48" i="8"/>
  <c r="AX48" i="8"/>
  <c r="AY48" i="8"/>
  <c r="AV49" i="8"/>
  <c r="AW49" i="8"/>
  <c r="AX49" i="8"/>
  <c r="AY49" i="8"/>
  <c r="AV50" i="8"/>
  <c r="AW50" i="8"/>
  <c r="AX50" i="8"/>
  <c r="AY50" i="8"/>
  <c r="AV51" i="8"/>
  <c r="AW51" i="8"/>
  <c r="AX51" i="8"/>
  <c r="AY51" i="8"/>
  <c r="AV52" i="8"/>
  <c r="AW52" i="8"/>
  <c r="AX52" i="8"/>
  <c r="AY52" i="8"/>
  <c r="AV53" i="8"/>
  <c r="AW53" i="8"/>
  <c r="AX53" i="8"/>
  <c r="AY53" i="8"/>
  <c r="AV54" i="8"/>
  <c r="AW54" i="8"/>
  <c r="AX54" i="8"/>
  <c r="AY54" i="8"/>
  <c r="AV55" i="8"/>
  <c r="AW55" i="8"/>
  <c r="AX55" i="8"/>
  <c r="AY55" i="8"/>
  <c r="AV56" i="8"/>
  <c r="AW56" i="8"/>
  <c r="AX56" i="8"/>
  <c r="AY56" i="8"/>
  <c r="AV57" i="8"/>
  <c r="AW57" i="8"/>
  <c r="AX57" i="8"/>
  <c r="AY57" i="8"/>
  <c r="AV58" i="8"/>
  <c r="AW58" i="8"/>
  <c r="AX58" i="8"/>
  <c r="AY58" i="8"/>
  <c r="AV59" i="8"/>
  <c r="AW59" i="8"/>
  <c r="AX59" i="8"/>
  <c r="AY59" i="8"/>
  <c r="AV60" i="8"/>
  <c r="AW60" i="8"/>
  <c r="AX60" i="8"/>
  <c r="AY60" i="8"/>
  <c r="AV61" i="8"/>
  <c r="AW61" i="8"/>
  <c r="AX61" i="8"/>
  <c r="AY61" i="8"/>
  <c r="AV62" i="8"/>
  <c r="AW62" i="8"/>
  <c r="AX62" i="8"/>
  <c r="AY62" i="8"/>
  <c r="AV63" i="8"/>
  <c r="AW63" i="8"/>
  <c r="AX63" i="8"/>
  <c r="AY63" i="8"/>
  <c r="AV64" i="8"/>
  <c r="AW64" i="8"/>
  <c r="AX64" i="8"/>
  <c r="AY64" i="8"/>
  <c r="AV65" i="8"/>
  <c r="AW65" i="8"/>
  <c r="AX65" i="8"/>
  <c r="AY65" i="8"/>
  <c r="AV66" i="8"/>
  <c r="AW66" i="8"/>
  <c r="AX66" i="8"/>
  <c r="AY66" i="8"/>
  <c r="AV67" i="8"/>
  <c r="AW67" i="8"/>
  <c r="AX67" i="8"/>
  <c r="AY67" i="8"/>
  <c r="AV68" i="8"/>
  <c r="AW68" i="8"/>
  <c r="AX68" i="8"/>
  <c r="AY68" i="8"/>
  <c r="AV69" i="8"/>
  <c r="AW69" i="8"/>
  <c r="AX69" i="8"/>
  <c r="AY69" i="8"/>
  <c r="AV70" i="8"/>
  <c r="AW70" i="8"/>
  <c r="AX70" i="8"/>
  <c r="AY70" i="8"/>
  <c r="AV71" i="8"/>
  <c r="AW71" i="8"/>
  <c r="AX71" i="8"/>
  <c r="AY71" i="8"/>
  <c r="AV72" i="8"/>
  <c r="AW72" i="8"/>
  <c r="AX72" i="8"/>
  <c r="AY72" i="8"/>
  <c r="AV73" i="8"/>
  <c r="AW73" i="8"/>
  <c r="AX73" i="8"/>
  <c r="AY73" i="8"/>
  <c r="AV74" i="8"/>
  <c r="AW74" i="8"/>
  <c r="AX74" i="8"/>
  <c r="AY74" i="8"/>
  <c r="AV75" i="8"/>
  <c r="AW75" i="8"/>
  <c r="AX75" i="8"/>
  <c r="AY75" i="8"/>
  <c r="AV76" i="8"/>
  <c r="AW76" i="8"/>
  <c r="AX76" i="8"/>
  <c r="AY76" i="8"/>
  <c r="AV77" i="8"/>
  <c r="AW77" i="8"/>
  <c r="AX77" i="8"/>
  <c r="AY77" i="8"/>
  <c r="AV78" i="8"/>
  <c r="AW78" i="8"/>
  <c r="AX78" i="8"/>
  <c r="AY78" i="8"/>
  <c r="AV79" i="8"/>
  <c r="AW79" i="8"/>
  <c r="AX79" i="8"/>
  <c r="AY79" i="8"/>
  <c r="AV80" i="8"/>
  <c r="AW80" i="8"/>
  <c r="AX80" i="8"/>
  <c r="AY80" i="8"/>
  <c r="AV81" i="8"/>
  <c r="AW81" i="8"/>
  <c r="AX81" i="8"/>
  <c r="AY81" i="8"/>
  <c r="AV82" i="8"/>
  <c r="AW82" i="8"/>
  <c r="AX82" i="8"/>
  <c r="AY82" i="8"/>
  <c r="AV83" i="8"/>
  <c r="AW83" i="8"/>
  <c r="AX83" i="8"/>
  <c r="AY83" i="8"/>
  <c r="AV84" i="8"/>
  <c r="AW84" i="8"/>
  <c r="AX84" i="8"/>
  <c r="AY84" i="8"/>
  <c r="AV85" i="8"/>
  <c r="AW85" i="8"/>
  <c r="AX85" i="8"/>
  <c r="AY85" i="8"/>
  <c r="AV86" i="8"/>
  <c r="AW86" i="8"/>
  <c r="AX86" i="8"/>
  <c r="AY86" i="8"/>
  <c r="AV87" i="8"/>
  <c r="AW87" i="8"/>
  <c r="AX87" i="8"/>
  <c r="AY87" i="8"/>
  <c r="AV88" i="8"/>
  <c r="AW88" i="8"/>
  <c r="AX88" i="8"/>
  <c r="AY88" i="8"/>
  <c r="AV89" i="8"/>
  <c r="AW89" i="8"/>
  <c r="AX89" i="8"/>
  <c r="AY89" i="8"/>
  <c r="AV90" i="8"/>
  <c r="AW90" i="8"/>
  <c r="AX90" i="8"/>
  <c r="AY90" i="8"/>
  <c r="AV91" i="8"/>
  <c r="AW91" i="8"/>
  <c r="AX91" i="8"/>
  <c r="AY91" i="8"/>
  <c r="AV92" i="8"/>
  <c r="AW92" i="8"/>
  <c r="AX92" i="8"/>
  <c r="AY92" i="8"/>
  <c r="AV93" i="8"/>
  <c r="AW93" i="8"/>
  <c r="AX93" i="8"/>
  <c r="AY93" i="8"/>
  <c r="AV94" i="8"/>
  <c r="AW94" i="8"/>
  <c r="AX94" i="8"/>
  <c r="AY94" i="8"/>
  <c r="AV95" i="8"/>
  <c r="AW95" i="8"/>
  <c r="AX95" i="8"/>
  <c r="AY95" i="8"/>
  <c r="AV96" i="8"/>
  <c r="AW96" i="8"/>
  <c r="AX96" i="8"/>
  <c r="AY96" i="8"/>
  <c r="AV97" i="8"/>
  <c r="AW97" i="8"/>
  <c r="AX97" i="8"/>
  <c r="AY97" i="8"/>
  <c r="AV2" i="8"/>
  <c r="AW2" i="8"/>
  <c r="AY2" i="8"/>
  <c r="AX2" i="8"/>
  <c r="AR3" i="8"/>
  <c r="AS3" i="8"/>
  <c r="AT3" i="8"/>
  <c r="AU3" i="8"/>
  <c r="AR4" i="8"/>
  <c r="AS4" i="8"/>
  <c r="AT4" i="8"/>
  <c r="AU4" i="8"/>
  <c r="AR5" i="8"/>
  <c r="AS5" i="8"/>
  <c r="AT5" i="8"/>
  <c r="AU5" i="8"/>
  <c r="AR6" i="8"/>
  <c r="AS6" i="8"/>
  <c r="AT6" i="8"/>
  <c r="AU6" i="8"/>
  <c r="AR7" i="8"/>
  <c r="AS7" i="8"/>
  <c r="AT7" i="8"/>
  <c r="AU7" i="8"/>
  <c r="AR8" i="8"/>
  <c r="AS8" i="8"/>
  <c r="AT8" i="8"/>
  <c r="AU8" i="8"/>
  <c r="AR9" i="8"/>
  <c r="AS9" i="8"/>
  <c r="AT9" i="8"/>
  <c r="AU9" i="8"/>
  <c r="AR10" i="8"/>
  <c r="AS10" i="8"/>
  <c r="AT10" i="8"/>
  <c r="AU10" i="8"/>
  <c r="AR11" i="8"/>
  <c r="AS11" i="8"/>
  <c r="AT11" i="8"/>
  <c r="AU11" i="8"/>
  <c r="AR12" i="8"/>
  <c r="AS12" i="8"/>
  <c r="AT12" i="8"/>
  <c r="AU12" i="8"/>
  <c r="AR13" i="8"/>
  <c r="AS13" i="8"/>
  <c r="AT13" i="8"/>
  <c r="AU13" i="8"/>
  <c r="AR14" i="8"/>
  <c r="AS14" i="8"/>
  <c r="AT14" i="8"/>
  <c r="AU14" i="8"/>
  <c r="AR15" i="8"/>
  <c r="AS15" i="8"/>
  <c r="AT15" i="8"/>
  <c r="AU15" i="8"/>
  <c r="AR16" i="8"/>
  <c r="AS16" i="8"/>
  <c r="AT16" i="8"/>
  <c r="AU16" i="8"/>
  <c r="AR17" i="8"/>
  <c r="AS17" i="8"/>
  <c r="AT17" i="8"/>
  <c r="AU17" i="8"/>
  <c r="AR18" i="8"/>
  <c r="AS18" i="8"/>
  <c r="AT18" i="8"/>
  <c r="AU18" i="8"/>
  <c r="AR19" i="8"/>
  <c r="AS19" i="8"/>
  <c r="AT19" i="8"/>
  <c r="AU19" i="8"/>
  <c r="AR20" i="8"/>
  <c r="AS20" i="8"/>
  <c r="AT20" i="8"/>
  <c r="AU20" i="8"/>
  <c r="AR21" i="8"/>
  <c r="AS21" i="8"/>
  <c r="AT21" i="8"/>
  <c r="AU21" i="8"/>
  <c r="AR22" i="8"/>
  <c r="AS22" i="8"/>
  <c r="AT22" i="8"/>
  <c r="AU22" i="8"/>
  <c r="AR23" i="8"/>
  <c r="AS23" i="8"/>
  <c r="AT23" i="8"/>
  <c r="AU23" i="8"/>
  <c r="AR24" i="8"/>
  <c r="AS24" i="8"/>
  <c r="AT24" i="8"/>
  <c r="AU24" i="8"/>
  <c r="AR25" i="8"/>
  <c r="AS25" i="8"/>
  <c r="AT25" i="8"/>
  <c r="AU25" i="8"/>
  <c r="AR26" i="8"/>
  <c r="AS26" i="8"/>
  <c r="AT26" i="8"/>
  <c r="AU26" i="8"/>
  <c r="AR27" i="8"/>
  <c r="AS27" i="8"/>
  <c r="AT27" i="8"/>
  <c r="AU27" i="8"/>
  <c r="AR28" i="8"/>
  <c r="AS28" i="8"/>
  <c r="AT28" i="8"/>
  <c r="AU28" i="8"/>
  <c r="AR29" i="8"/>
  <c r="AS29" i="8"/>
  <c r="AT29" i="8"/>
  <c r="AU29" i="8"/>
  <c r="AR30" i="8"/>
  <c r="AS30" i="8"/>
  <c r="AT30" i="8"/>
  <c r="AU30" i="8"/>
  <c r="AR31" i="8"/>
  <c r="AS31" i="8"/>
  <c r="AT31" i="8"/>
  <c r="AU31" i="8"/>
  <c r="AR32" i="8"/>
  <c r="AS32" i="8"/>
  <c r="AT32" i="8"/>
  <c r="AU32" i="8"/>
  <c r="AR33" i="8"/>
  <c r="AS33" i="8"/>
  <c r="AT33" i="8"/>
  <c r="AU33" i="8"/>
  <c r="AR34" i="8"/>
  <c r="AS34" i="8"/>
  <c r="AT34" i="8"/>
  <c r="AU34" i="8"/>
  <c r="AR35" i="8"/>
  <c r="AS35" i="8"/>
  <c r="AT35" i="8"/>
  <c r="AU35" i="8"/>
  <c r="AR36" i="8"/>
  <c r="AS36" i="8"/>
  <c r="AT36" i="8"/>
  <c r="AU36" i="8"/>
  <c r="AR37" i="8"/>
  <c r="AS37" i="8"/>
  <c r="AT37" i="8"/>
  <c r="AU37" i="8"/>
  <c r="AR38" i="8"/>
  <c r="AS38" i="8"/>
  <c r="AT38" i="8"/>
  <c r="AU38" i="8"/>
  <c r="AR39" i="8"/>
  <c r="AS39" i="8"/>
  <c r="AT39" i="8"/>
  <c r="AU39" i="8"/>
  <c r="AR40" i="8"/>
  <c r="AS40" i="8"/>
  <c r="AT40" i="8"/>
  <c r="AU40" i="8"/>
  <c r="AR41" i="8"/>
  <c r="AS41" i="8"/>
  <c r="AT41" i="8"/>
  <c r="AU41" i="8"/>
  <c r="AR42" i="8"/>
  <c r="AS42" i="8"/>
  <c r="AT42" i="8"/>
  <c r="AU42" i="8"/>
  <c r="AR43" i="8"/>
  <c r="AS43" i="8"/>
  <c r="AT43" i="8"/>
  <c r="AU43" i="8"/>
  <c r="AR44" i="8"/>
  <c r="AS44" i="8"/>
  <c r="AT44" i="8"/>
  <c r="AU44" i="8"/>
  <c r="AR45" i="8"/>
  <c r="AS45" i="8"/>
  <c r="AT45" i="8"/>
  <c r="AU45" i="8"/>
  <c r="AR46" i="8"/>
  <c r="AS46" i="8"/>
  <c r="AT46" i="8"/>
  <c r="AU46" i="8"/>
  <c r="AR47" i="8"/>
  <c r="AS47" i="8"/>
  <c r="AT47" i="8"/>
  <c r="AU47" i="8"/>
  <c r="AR48" i="8"/>
  <c r="AS48" i="8"/>
  <c r="AT48" i="8"/>
  <c r="AU48" i="8"/>
  <c r="AR49" i="8"/>
  <c r="AS49" i="8"/>
  <c r="AT49" i="8"/>
  <c r="AU49" i="8"/>
  <c r="AR50" i="8"/>
  <c r="AS50" i="8"/>
  <c r="AT50" i="8"/>
  <c r="AU50" i="8"/>
  <c r="AR51" i="8"/>
  <c r="AS51" i="8"/>
  <c r="AT51" i="8"/>
  <c r="AU51" i="8"/>
  <c r="AR52" i="8"/>
  <c r="AS52" i="8"/>
  <c r="AT52" i="8"/>
  <c r="AU52" i="8"/>
  <c r="AR53" i="8"/>
  <c r="AS53" i="8"/>
  <c r="AT53" i="8"/>
  <c r="AU53" i="8"/>
  <c r="AR54" i="8"/>
  <c r="AS54" i="8"/>
  <c r="AT54" i="8"/>
  <c r="AU54" i="8"/>
  <c r="AR55" i="8"/>
  <c r="AS55" i="8"/>
  <c r="AT55" i="8"/>
  <c r="AU55" i="8"/>
  <c r="AR56" i="8"/>
  <c r="AS56" i="8"/>
  <c r="AT56" i="8"/>
  <c r="AU56" i="8"/>
  <c r="AR57" i="8"/>
  <c r="AS57" i="8"/>
  <c r="AT57" i="8"/>
  <c r="AU57" i="8"/>
  <c r="AR58" i="8"/>
  <c r="AS58" i="8"/>
  <c r="AT58" i="8"/>
  <c r="AU58" i="8"/>
  <c r="AR59" i="8"/>
  <c r="AS59" i="8"/>
  <c r="AT59" i="8"/>
  <c r="AU59" i="8"/>
  <c r="AR60" i="8"/>
  <c r="AS60" i="8"/>
  <c r="AT60" i="8"/>
  <c r="AU60" i="8"/>
  <c r="AR61" i="8"/>
  <c r="AS61" i="8"/>
  <c r="AT61" i="8"/>
  <c r="AU61" i="8"/>
  <c r="AR62" i="8"/>
  <c r="AS62" i="8"/>
  <c r="AT62" i="8"/>
  <c r="AU62" i="8"/>
  <c r="AR63" i="8"/>
  <c r="AS63" i="8"/>
  <c r="AT63" i="8"/>
  <c r="AU63" i="8"/>
  <c r="AR64" i="8"/>
  <c r="AS64" i="8"/>
  <c r="AT64" i="8"/>
  <c r="AU64" i="8"/>
  <c r="AR65" i="8"/>
  <c r="AS65" i="8"/>
  <c r="AT65" i="8"/>
  <c r="AU65" i="8"/>
  <c r="AR66" i="8"/>
  <c r="AS66" i="8"/>
  <c r="AT66" i="8"/>
  <c r="AU66" i="8"/>
  <c r="AR67" i="8"/>
  <c r="AS67" i="8"/>
  <c r="AT67" i="8"/>
  <c r="AU67" i="8"/>
  <c r="AR68" i="8"/>
  <c r="AS68" i="8"/>
  <c r="AT68" i="8"/>
  <c r="AU68" i="8"/>
  <c r="AR69" i="8"/>
  <c r="AS69" i="8"/>
  <c r="AT69" i="8"/>
  <c r="AU69" i="8"/>
  <c r="AR70" i="8"/>
  <c r="AS70" i="8"/>
  <c r="AT70" i="8"/>
  <c r="AU70" i="8"/>
  <c r="AR71" i="8"/>
  <c r="AS71" i="8"/>
  <c r="AT71" i="8"/>
  <c r="AU71" i="8"/>
  <c r="AR72" i="8"/>
  <c r="AS72" i="8"/>
  <c r="AT72" i="8"/>
  <c r="AU72" i="8"/>
  <c r="AR73" i="8"/>
  <c r="AS73" i="8"/>
  <c r="AT73" i="8"/>
  <c r="AU73" i="8"/>
  <c r="AR74" i="8"/>
  <c r="AS74" i="8"/>
  <c r="AT74" i="8"/>
  <c r="AU74" i="8"/>
  <c r="AR75" i="8"/>
  <c r="AS75" i="8"/>
  <c r="AT75" i="8"/>
  <c r="AU75" i="8"/>
  <c r="AR76" i="8"/>
  <c r="AS76" i="8"/>
  <c r="AT76" i="8"/>
  <c r="AU76" i="8"/>
  <c r="AR77" i="8"/>
  <c r="AS77" i="8"/>
  <c r="AT77" i="8"/>
  <c r="AU77" i="8"/>
  <c r="AR78" i="8"/>
  <c r="AS78" i="8"/>
  <c r="AT78" i="8"/>
  <c r="AU78" i="8"/>
  <c r="AR79" i="8"/>
  <c r="AS79" i="8"/>
  <c r="AT79" i="8"/>
  <c r="AU79" i="8"/>
  <c r="AR80" i="8"/>
  <c r="AS80" i="8"/>
  <c r="AT80" i="8"/>
  <c r="AU80" i="8"/>
  <c r="AR81" i="8"/>
  <c r="AS81" i="8"/>
  <c r="AT81" i="8"/>
  <c r="AU81" i="8"/>
  <c r="AR82" i="8"/>
  <c r="AS82" i="8"/>
  <c r="AT82" i="8"/>
  <c r="AU82" i="8"/>
  <c r="AR83" i="8"/>
  <c r="AS83" i="8"/>
  <c r="AT83" i="8"/>
  <c r="AU83" i="8"/>
  <c r="AR84" i="8"/>
  <c r="AS84" i="8"/>
  <c r="AT84" i="8"/>
  <c r="AU84" i="8"/>
  <c r="AR85" i="8"/>
  <c r="AS85" i="8"/>
  <c r="AT85" i="8"/>
  <c r="AU85" i="8"/>
  <c r="AR86" i="8"/>
  <c r="AS86" i="8"/>
  <c r="AT86" i="8"/>
  <c r="AU86" i="8"/>
  <c r="AR87" i="8"/>
  <c r="AS87" i="8"/>
  <c r="AT87" i="8"/>
  <c r="AU87" i="8"/>
  <c r="AR88" i="8"/>
  <c r="AS88" i="8"/>
  <c r="AT88" i="8"/>
  <c r="AU88" i="8"/>
  <c r="AR89" i="8"/>
  <c r="AS89" i="8"/>
  <c r="AT89" i="8"/>
  <c r="AU89" i="8"/>
  <c r="AR90" i="8"/>
  <c r="AS90" i="8"/>
  <c r="AT90" i="8"/>
  <c r="AU90" i="8"/>
  <c r="AR91" i="8"/>
  <c r="AS91" i="8"/>
  <c r="AT91" i="8"/>
  <c r="AU91" i="8"/>
  <c r="AR92" i="8"/>
  <c r="AS92" i="8"/>
  <c r="AT92" i="8"/>
  <c r="AU92" i="8"/>
  <c r="AR93" i="8"/>
  <c r="AS93" i="8"/>
  <c r="AT93" i="8"/>
  <c r="AU93" i="8"/>
  <c r="AR94" i="8"/>
  <c r="AS94" i="8"/>
  <c r="AT94" i="8"/>
  <c r="AU94" i="8"/>
  <c r="AR95" i="8"/>
  <c r="AS95" i="8"/>
  <c r="AT95" i="8"/>
  <c r="AU95" i="8"/>
  <c r="AR96" i="8"/>
  <c r="AS96" i="8"/>
  <c r="AT96" i="8"/>
  <c r="AU96" i="8"/>
  <c r="AR97" i="8"/>
  <c r="AS97" i="8"/>
  <c r="AT97" i="8"/>
  <c r="AU97" i="8"/>
  <c r="AU2" i="8"/>
  <c r="AT2" i="8"/>
  <c r="AR2" i="8"/>
  <c r="AS2" i="8"/>
  <c r="AP2" i="8"/>
  <c r="AM13" i="8"/>
  <c r="AM12" i="8"/>
  <c r="AM11" i="8"/>
  <c r="AM10" i="8"/>
  <c r="AM9" i="8"/>
  <c r="AM8" i="8"/>
  <c r="AM7" i="8"/>
  <c r="AM6" i="8"/>
  <c r="AM5" i="8"/>
  <c r="AM4" i="8"/>
  <c r="AM3" i="8"/>
  <c r="AM2" i="8"/>
  <c r="AJ97" i="8"/>
  <c r="AJ96" i="8"/>
  <c r="AJ95" i="8"/>
  <c r="AJ94" i="8"/>
  <c r="AJ93" i="8"/>
  <c r="AJ92" i="8"/>
  <c r="AJ91" i="8"/>
  <c r="AJ90" i="8"/>
  <c r="AJ89" i="8"/>
  <c r="AJ88" i="8"/>
  <c r="AJ87" i="8"/>
  <c r="AJ86" i="8"/>
  <c r="AJ85" i="8"/>
  <c r="AJ84" i="8"/>
  <c r="AJ83" i="8"/>
  <c r="AJ82" i="8"/>
  <c r="AJ81" i="8"/>
  <c r="AJ80" i="8"/>
  <c r="AJ79" i="8"/>
  <c r="AJ78" i="8"/>
  <c r="AJ77" i="8"/>
  <c r="AJ76" i="8"/>
  <c r="AJ75" i="8"/>
  <c r="AJ74" i="8"/>
  <c r="AJ73" i="8"/>
  <c r="AJ72" i="8"/>
  <c r="AJ71" i="8"/>
  <c r="AJ70" i="8"/>
  <c r="AJ69" i="8"/>
  <c r="AJ68" i="8"/>
  <c r="AJ67" i="8"/>
  <c r="AJ66" i="8"/>
  <c r="AJ65" i="8"/>
  <c r="AJ64" i="8"/>
  <c r="AJ63" i="8"/>
  <c r="AJ62" i="8"/>
  <c r="AJ61" i="8"/>
  <c r="AJ60" i="8"/>
  <c r="AJ59" i="8"/>
  <c r="AJ58" i="8"/>
  <c r="AJ57" i="8"/>
  <c r="AJ56" i="8"/>
  <c r="AJ55" i="8"/>
  <c r="AJ54" i="8"/>
  <c r="AJ53" i="8"/>
  <c r="AJ52" i="8"/>
  <c r="AJ51" i="8"/>
  <c r="AJ50" i="8"/>
  <c r="AJ49" i="8"/>
  <c r="AJ48" i="8"/>
  <c r="AJ4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J26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J4" i="8"/>
  <c r="AJ3" i="8"/>
  <c r="AJ2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2" i="8"/>
  <c r="AG12" i="8"/>
  <c r="AG11" i="8"/>
  <c r="AG10" i="8"/>
  <c r="AG9" i="8"/>
  <c r="AG8" i="8"/>
  <c r="AG7" i="8"/>
  <c r="AG6" i="8"/>
  <c r="AG5" i="8"/>
  <c r="AG4" i="8"/>
  <c r="AG3" i="8"/>
  <c r="AG13" i="8"/>
  <c r="AH2" i="8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2" i="8"/>
  <c r="AB3" i="8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2" i="8"/>
  <c r="Z2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70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2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2" i="8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2" i="2"/>
  <c r="G27" i="5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E50" i="8"/>
  <c r="F50" i="8"/>
  <c r="E51" i="8"/>
  <c r="F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F2" i="8"/>
  <c r="E2" i="8"/>
  <c r="C215" i="4"/>
  <c r="C216" i="4"/>
  <c r="C6" i="4" l="1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5" i="4"/>
  <c r="Q18" i="1" s="1"/>
  <c r="D24" i="1"/>
  <c r="Q24" i="1"/>
  <c r="Q23" i="1"/>
  <c r="Q22" i="1"/>
  <c r="Q21" i="1"/>
  <c r="Q20" i="1"/>
  <c r="Q19" i="1"/>
  <c r="E8" i="5"/>
  <c r="G29" i="5"/>
  <c r="AK80" i="8" l="1"/>
  <c r="AN31" i="8"/>
  <c r="AQ31" i="8"/>
  <c r="S3" i="8"/>
  <c r="AH87" i="8"/>
  <c r="AH95" i="8"/>
  <c r="M65" i="8"/>
  <c r="P24" i="1"/>
  <c r="P23" i="1"/>
  <c r="P22" i="1"/>
  <c r="P21" i="1"/>
  <c r="P20" i="1"/>
  <c r="P19" i="1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I22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U81" i="8"/>
  <c r="P18" i="1"/>
  <c r="K3" i="12"/>
  <c r="J3" i="12"/>
  <c r="I3" i="12"/>
  <c r="H3" i="12"/>
  <c r="G3" i="12"/>
  <c r="F3" i="12"/>
  <c r="E3" i="12"/>
  <c r="O18" i="1"/>
  <c r="H23" i="1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2" i="8"/>
  <c r="G3" i="8"/>
  <c r="H3" i="8"/>
  <c r="I3" i="8"/>
  <c r="G4" i="8"/>
  <c r="H4" i="8"/>
  <c r="I4" i="8"/>
  <c r="G5" i="8"/>
  <c r="H5" i="8"/>
  <c r="I5" i="8"/>
  <c r="G6" i="8"/>
  <c r="H6" i="8"/>
  <c r="I6" i="8"/>
  <c r="G7" i="8"/>
  <c r="H7" i="8"/>
  <c r="I7" i="8"/>
  <c r="G8" i="8"/>
  <c r="H8" i="8"/>
  <c r="I8" i="8"/>
  <c r="G9" i="8"/>
  <c r="H9" i="8"/>
  <c r="I9" i="8"/>
  <c r="G10" i="8"/>
  <c r="H10" i="8"/>
  <c r="I10" i="8"/>
  <c r="G11" i="8"/>
  <c r="H11" i="8"/>
  <c r="I11" i="8"/>
  <c r="G12" i="8"/>
  <c r="H12" i="8"/>
  <c r="I12" i="8"/>
  <c r="G13" i="8"/>
  <c r="H13" i="8"/>
  <c r="I13" i="8"/>
  <c r="G14" i="8"/>
  <c r="H14" i="8"/>
  <c r="I14" i="8"/>
  <c r="G15" i="8"/>
  <c r="H15" i="8"/>
  <c r="I15" i="8"/>
  <c r="G16" i="8"/>
  <c r="H16" i="8"/>
  <c r="I16" i="8"/>
  <c r="G17" i="8"/>
  <c r="H17" i="8"/>
  <c r="I17" i="8"/>
  <c r="G18" i="8"/>
  <c r="H18" i="8"/>
  <c r="I18" i="8"/>
  <c r="G19" i="8"/>
  <c r="H19" i="8"/>
  <c r="I19" i="8"/>
  <c r="G20" i="8"/>
  <c r="H20" i="8"/>
  <c r="I20" i="8"/>
  <c r="G21" i="8"/>
  <c r="H21" i="8"/>
  <c r="I21" i="8"/>
  <c r="G22" i="8"/>
  <c r="H22" i="8"/>
  <c r="I22" i="8"/>
  <c r="G23" i="8"/>
  <c r="H23" i="8"/>
  <c r="I23" i="8"/>
  <c r="G24" i="8"/>
  <c r="H24" i="8"/>
  <c r="I24" i="8"/>
  <c r="G25" i="8"/>
  <c r="H25" i="8"/>
  <c r="I25" i="8"/>
  <c r="G26" i="8"/>
  <c r="H26" i="8"/>
  <c r="I26" i="8"/>
  <c r="G27" i="8"/>
  <c r="H27" i="8"/>
  <c r="I27" i="8"/>
  <c r="G28" i="8"/>
  <c r="H28" i="8"/>
  <c r="I28" i="8"/>
  <c r="G29" i="8"/>
  <c r="H29" i="8"/>
  <c r="I29" i="8"/>
  <c r="G30" i="8"/>
  <c r="H30" i="8"/>
  <c r="I30" i="8"/>
  <c r="G31" i="8"/>
  <c r="H31" i="8"/>
  <c r="I31" i="8"/>
  <c r="G32" i="8"/>
  <c r="H32" i="8"/>
  <c r="I32" i="8"/>
  <c r="G33" i="8"/>
  <c r="H33" i="8"/>
  <c r="I33" i="8"/>
  <c r="G34" i="8"/>
  <c r="H34" i="8"/>
  <c r="I34" i="8"/>
  <c r="G35" i="8"/>
  <c r="H35" i="8"/>
  <c r="I35" i="8"/>
  <c r="G36" i="8"/>
  <c r="H36" i="8"/>
  <c r="I36" i="8"/>
  <c r="G37" i="8"/>
  <c r="H37" i="8"/>
  <c r="I37" i="8"/>
  <c r="G38" i="8"/>
  <c r="H38" i="8"/>
  <c r="I38" i="8"/>
  <c r="G39" i="8"/>
  <c r="H39" i="8"/>
  <c r="I39" i="8"/>
  <c r="G40" i="8"/>
  <c r="H40" i="8"/>
  <c r="I40" i="8"/>
  <c r="G41" i="8"/>
  <c r="H41" i="8"/>
  <c r="I41" i="8"/>
  <c r="G42" i="8"/>
  <c r="H42" i="8"/>
  <c r="I42" i="8"/>
  <c r="G43" i="8"/>
  <c r="H43" i="8"/>
  <c r="I43" i="8"/>
  <c r="G44" i="8"/>
  <c r="H44" i="8"/>
  <c r="I44" i="8"/>
  <c r="G45" i="8"/>
  <c r="H45" i="8"/>
  <c r="I45" i="8"/>
  <c r="G46" i="8"/>
  <c r="H46" i="8"/>
  <c r="I46" i="8"/>
  <c r="G47" i="8"/>
  <c r="H47" i="8"/>
  <c r="I47" i="8"/>
  <c r="G48" i="8"/>
  <c r="H48" i="8"/>
  <c r="I48" i="8"/>
  <c r="G49" i="8"/>
  <c r="H49" i="8"/>
  <c r="I49" i="8"/>
  <c r="G50" i="8"/>
  <c r="H50" i="8"/>
  <c r="I50" i="8"/>
  <c r="G51" i="8"/>
  <c r="H51" i="8"/>
  <c r="I51" i="8"/>
  <c r="G52" i="8"/>
  <c r="H52" i="8"/>
  <c r="I52" i="8"/>
  <c r="G53" i="8"/>
  <c r="H53" i="8"/>
  <c r="I53" i="8"/>
  <c r="G54" i="8"/>
  <c r="H54" i="8"/>
  <c r="I54" i="8"/>
  <c r="G55" i="8"/>
  <c r="H55" i="8"/>
  <c r="I55" i="8"/>
  <c r="G56" i="8"/>
  <c r="H56" i="8"/>
  <c r="I56" i="8"/>
  <c r="G57" i="8"/>
  <c r="H57" i="8"/>
  <c r="I57" i="8"/>
  <c r="G58" i="8"/>
  <c r="H58" i="8"/>
  <c r="I58" i="8"/>
  <c r="G59" i="8"/>
  <c r="H59" i="8"/>
  <c r="I59" i="8"/>
  <c r="G60" i="8"/>
  <c r="H60" i="8"/>
  <c r="I60" i="8"/>
  <c r="G61" i="8"/>
  <c r="H61" i="8"/>
  <c r="I61" i="8"/>
  <c r="G62" i="8"/>
  <c r="H62" i="8"/>
  <c r="I62" i="8"/>
  <c r="G63" i="8"/>
  <c r="H63" i="8"/>
  <c r="I63" i="8"/>
  <c r="G64" i="8"/>
  <c r="H64" i="8"/>
  <c r="I64" i="8"/>
  <c r="G65" i="8"/>
  <c r="H65" i="8"/>
  <c r="I65" i="8"/>
  <c r="G66" i="8"/>
  <c r="H66" i="8"/>
  <c r="I66" i="8"/>
  <c r="G67" i="8"/>
  <c r="H67" i="8"/>
  <c r="I67" i="8"/>
  <c r="G68" i="8"/>
  <c r="H68" i="8"/>
  <c r="I68" i="8"/>
  <c r="G69" i="8"/>
  <c r="H69" i="8"/>
  <c r="I69" i="8"/>
  <c r="G70" i="8"/>
  <c r="H70" i="8"/>
  <c r="I70" i="8"/>
  <c r="G71" i="8"/>
  <c r="H71" i="8"/>
  <c r="I71" i="8"/>
  <c r="G72" i="8"/>
  <c r="H72" i="8"/>
  <c r="I72" i="8"/>
  <c r="G73" i="8"/>
  <c r="H73" i="8"/>
  <c r="I73" i="8"/>
  <c r="G74" i="8"/>
  <c r="H74" i="8"/>
  <c r="I74" i="8"/>
  <c r="G75" i="8"/>
  <c r="H75" i="8"/>
  <c r="I75" i="8"/>
  <c r="G76" i="8"/>
  <c r="H76" i="8"/>
  <c r="I76" i="8"/>
  <c r="G77" i="8"/>
  <c r="H77" i="8"/>
  <c r="I77" i="8"/>
  <c r="G78" i="8"/>
  <c r="H78" i="8"/>
  <c r="I78" i="8"/>
  <c r="G79" i="8"/>
  <c r="H79" i="8"/>
  <c r="I79" i="8"/>
  <c r="G80" i="8"/>
  <c r="H80" i="8"/>
  <c r="I80" i="8"/>
  <c r="G81" i="8"/>
  <c r="H81" i="8"/>
  <c r="I81" i="8"/>
  <c r="G82" i="8"/>
  <c r="H82" i="8"/>
  <c r="I82" i="8"/>
  <c r="G83" i="8"/>
  <c r="H83" i="8"/>
  <c r="I83" i="8"/>
  <c r="G84" i="8"/>
  <c r="H84" i="8"/>
  <c r="I84" i="8"/>
  <c r="G85" i="8"/>
  <c r="H85" i="8"/>
  <c r="I85" i="8"/>
  <c r="G86" i="8"/>
  <c r="H86" i="8"/>
  <c r="I86" i="8"/>
  <c r="G87" i="8"/>
  <c r="H87" i="8"/>
  <c r="I87" i="8"/>
  <c r="G88" i="8"/>
  <c r="H88" i="8"/>
  <c r="I88" i="8"/>
  <c r="G89" i="8"/>
  <c r="H89" i="8"/>
  <c r="I89" i="8"/>
  <c r="G90" i="8"/>
  <c r="H90" i="8"/>
  <c r="I90" i="8"/>
  <c r="G91" i="8"/>
  <c r="H91" i="8"/>
  <c r="I91" i="8"/>
  <c r="G92" i="8"/>
  <c r="H92" i="8"/>
  <c r="I92" i="8"/>
  <c r="G93" i="8"/>
  <c r="H93" i="8"/>
  <c r="I93" i="8"/>
  <c r="G94" i="8"/>
  <c r="H94" i="8"/>
  <c r="I94" i="8"/>
  <c r="G95" i="8"/>
  <c r="H95" i="8"/>
  <c r="I95" i="8"/>
  <c r="G96" i="8"/>
  <c r="H96" i="8"/>
  <c r="I96" i="8"/>
  <c r="G97" i="8"/>
  <c r="H97" i="8"/>
  <c r="I97" i="8"/>
  <c r="H2" i="8"/>
  <c r="I2" i="8"/>
  <c r="G2" i="8"/>
  <c r="W11" i="8"/>
  <c r="Y77" i="8"/>
  <c r="AA34" i="8"/>
  <c r="AC14" i="8"/>
  <c r="AE23" i="8"/>
  <c r="AH86" i="8"/>
  <c r="AH88" i="8"/>
  <c r="AH89" i="8"/>
  <c r="K16" i="2"/>
  <c r="L16" i="2" s="1"/>
  <c r="K17" i="2"/>
  <c r="L17" i="2" s="1"/>
  <c r="K18" i="2"/>
  <c r="L18" i="2" s="1"/>
  <c r="AH81" i="8"/>
  <c r="AH94" i="8"/>
  <c r="AH96" i="8"/>
  <c r="AH97" i="8"/>
  <c r="K24" i="2"/>
  <c r="L24" i="2" s="1"/>
  <c r="K25" i="2"/>
  <c r="L25" i="2" s="1"/>
  <c r="K26" i="2"/>
  <c r="L26" i="2" s="1"/>
  <c r="AK89" i="8"/>
  <c r="AK78" i="8"/>
  <c r="AK79" i="8"/>
  <c r="AK81" i="8"/>
  <c r="AK10" i="8"/>
  <c r="K33" i="2"/>
  <c r="L33" i="2" s="1"/>
  <c r="K34" i="2"/>
  <c r="L34" i="2" s="1"/>
  <c r="AK97" i="8"/>
  <c r="AN7" i="8"/>
  <c r="AN15" i="8"/>
  <c r="K39" i="2"/>
  <c r="L39" i="2" s="1"/>
  <c r="K40" i="2"/>
  <c r="L40" i="2" s="1"/>
  <c r="K41" i="2"/>
  <c r="L41" i="2" s="1"/>
  <c r="K42" i="2"/>
  <c r="L42" i="2" s="1"/>
  <c r="AN87" i="8"/>
  <c r="AQ7" i="8"/>
  <c r="AQ15" i="8"/>
  <c r="AQ39" i="8"/>
  <c r="K48" i="2"/>
  <c r="L48" i="2" s="1"/>
  <c r="K49" i="2"/>
  <c r="L49" i="2" s="1"/>
  <c r="K50" i="2"/>
  <c r="L50" i="2" s="1"/>
  <c r="AQ8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2" i="8"/>
  <c r="AE3" i="8"/>
  <c r="AE10" i="8"/>
  <c r="AE11" i="8"/>
  <c r="AE15" i="8"/>
  <c r="AE16" i="8"/>
  <c r="AE20" i="8"/>
  <c r="AE22" i="8"/>
  <c r="AE26" i="8"/>
  <c r="AE30" i="8"/>
  <c r="AE31" i="8"/>
  <c r="AE36" i="8"/>
  <c r="AE40" i="8"/>
  <c r="AE48" i="8"/>
  <c r="AE50" i="8"/>
  <c r="AE52" i="8"/>
  <c r="AE54" i="8"/>
  <c r="AE58" i="8"/>
  <c r="AE59" i="8"/>
  <c r="AE62" i="8"/>
  <c r="AE67" i="8"/>
  <c r="AE68" i="8"/>
  <c r="AE72" i="8"/>
  <c r="AE73" i="8"/>
  <c r="AE74" i="8"/>
  <c r="AE76" i="8"/>
  <c r="AE78" i="8"/>
  <c r="AE81" i="8"/>
  <c r="AE82" i="8"/>
  <c r="AE85" i="8"/>
  <c r="AE87" i="8"/>
  <c r="AE91" i="8"/>
  <c r="AE93" i="8"/>
  <c r="AE94" i="8"/>
  <c r="AE95" i="8"/>
  <c r="Q2" i="8"/>
  <c r="M16" i="8"/>
  <c r="M42" i="8"/>
  <c r="M93" i="8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3" i="5"/>
  <c r="E4" i="5"/>
  <c r="E5" i="5"/>
  <c r="E6" i="5"/>
  <c r="E7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3" i="5"/>
  <c r="K44" i="2"/>
  <c r="L44" i="2" s="1"/>
  <c r="K51" i="2"/>
  <c r="L51" i="2" s="1"/>
  <c r="AE4" i="8"/>
  <c r="K19" i="2"/>
  <c r="L19" i="2" s="1"/>
  <c r="K27" i="2"/>
  <c r="L27" i="2" s="1"/>
  <c r="K35" i="2"/>
  <c r="L35" i="2" s="1"/>
  <c r="Q90" i="8"/>
  <c r="K12" i="2"/>
  <c r="L12" i="2" s="1"/>
  <c r="K20" i="2"/>
  <c r="L20" i="2" s="1"/>
  <c r="K28" i="2"/>
  <c r="L28" i="2" s="1"/>
  <c r="K43" i="2"/>
  <c r="L43" i="2" s="1"/>
  <c r="C23" i="2"/>
  <c r="AF97" i="8" s="1"/>
  <c r="C36" i="2"/>
  <c r="O3" i="5" s="1"/>
  <c r="G10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G13" i="5"/>
  <c r="H4" i="5"/>
  <c r="I4" i="5" s="1"/>
  <c r="H5" i="5"/>
  <c r="H6" i="5"/>
  <c r="H7" i="5"/>
  <c r="H8" i="5"/>
  <c r="H9" i="5"/>
  <c r="H11" i="5"/>
  <c r="H12" i="5"/>
  <c r="H14" i="5"/>
  <c r="H15" i="5"/>
  <c r="H16" i="5"/>
  <c r="H17" i="5"/>
  <c r="H18" i="5"/>
  <c r="H19" i="5"/>
  <c r="H20" i="5"/>
  <c r="H21" i="5"/>
  <c r="H22" i="5"/>
  <c r="G4" i="5"/>
  <c r="G5" i="5"/>
  <c r="G6" i="5"/>
  <c r="G7" i="5"/>
  <c r="G8" i="5"/>
  <c r="G9" i="5"/>
  <c r="G11" i="5"/>
  <c r="G12" i="5"/>
  <c r="G14" i="5"/>
  <c r="G15" i="5"/>
  <c r="G16" i="5"/>
  <c r="G17" i="5"/>
  <c r="G18" i="5"/>
  <c r="G19" i="5"/>
  <c r="G20" i="5"/>
  <c r="G21" i="5"/>
  <c r="G22" i="5"/>
  <c r="G3" i="5"/>
  <c r="C35" i="2"/>
  <c r="AI97" i="8" s="1"/>
  <c r="C34" i="2"/>
  <c r="AI96" i="8" s="1"/>
  <c r="C33" i="2"/>
  <c r="AI95" i="8" s="1"/>
  <c r="C32" i="2"/>
  <c r="AI94" i="8" s="1"/>
  <c r="C31" i="2"/>
  <c r="AI81" i="8" s="1"/>
  <c r="C30" i="2"/>
  <c r="AI80" i="8" s="1"/>
  <c r="C29" i="2"/>
  <c r="AI79" i="8" s="1"/>
  <c r="C28" i="2"/>
  <c r="AI78" i="8" s="1"/>
  <c r="C27" i="2"/>
  <c r="AI89" i="8" s="1"/>
  <c r="C26" i="2"/>
  <c r="AI88" i="8" s="1"/>
  <c r="C25" i="2"/>
  <c r="AI87" i="8" s="1"/>
  <c r="C24" i="2"/>
  <c r="AI86" i="8" s="1"/>
  <c r="E5" i="12" l="1"/>
  <c r="E9" i="12"/>
  <c r="E13" i="12"/>
  <c r="E17" i="12"/>
  <c r="E21" i="12"/>
  <c r="E25" i="12"/>
  <c r="E29" i="12"/>
  <c r="E33" i="12"/>
  <c r="E37" i="12"/>
  <c r="E41" i="12"/>
  <c r="E45" i="12"/>
  <c r="E49" i="12"/>
  <c r="E53" i="12"/>
  <c r="E6" i="12"/>
  <c r="E10" i="12"/>
  <c r="E14" i="12"/>
  <c r="E18" i="12"/>
  <c r="E22" i="12"/>
  <c r="E26" i="12"/>
  <c r="E30" i="12"/>
  <c r="E8" i="12"/>
  <c r="E16" i="12"/>
  <c r="E24" i="12"/>
  <c r="E32" i="12"/>
  <c r="E34" i="12"/>
  <c r="E35" i="12"/>
  <c r="E36" i="12"/>
  <c r="E48" i="12"/>
  <c r="E51" i="12"/>
  <c r="E55" i="12"/>
  <c r="E59" i="12"/>
  <c r="E63" i="12"/>
  <c r="E67" i="12"/>
  <c r="E71" i="12"/>
  <c r="E7" i="12"/>
  <c r="E38" i="12"/>
  <c r="E39" i="12"/>
  <c r="E40" i="12"/>
  <c r="E12" i="12"/>
  <c r="E20" i="12"/>
  <c r="E28" i="12"/>
  <c r="E46" i="12"/>
  <c r="E57" i="12"/>
  <c r="E61" i="12"/>
  <c r="E65" i="12"/>
  <c r="E69" i="12"/>
  <c r="E73" i="12"/>
  <c r="E11" i="12"/>
  <c r="E19" i="12"/>
  <c r="E27" i="12"/>
  <c r="E42" i="12"/>
  <c r="E43" i="12"/>
  <c r="E44" i="12"/>
  <c r="E47" i="12"/>
  <c r="E50" i="12"/>
  <c r="E56" i="12"/>
  <c r="E60" i="12"/>
  <c r="E64" i="12"/>
  <c r="E68" i="12"/>
  <c r="E72" i="12"/>
  <c r="E15" i="12"/>
  <c r="E58" i="12"/>
  <c r="E76" i="12"/>
  <c r="E80" i="12"/>
  <c r="E84" i="12"/>
  <c r="E88" i="12"/>
  <c r="E92" i="12"/>
  <c r="E96" i="12"/>
  <c r="E54" i="12"/>
  <c r="E75" i="12"/>
  <c r="E79" i="12"/>
  <c r="E83" i="12"/>
  <c r="E87" i="12"/>
  <c r="E91" i="12"/>
  <c r="E95" i="12"/>
  <c r="E99" i="12"/>
  <c r="E78" i="12"/>
  <c r="E82" i="12"/>
  <c r="E86" i="12"/>
  <c r="E90" i="12"/>
  <c r="E94" i="12"/>
  <c r="E98" i="12"/>
  <c r="E70" i="12"/>
  <c r="E4" i="12"/>
  <c r="E31" i="12"/>
  <c r="E52" i="12"/>
  <c r="E66" i="12"/>
  <c r="E74" i="12"/>
  <c r="E77" i="12"/>
  <c r="E81" i="12"/>
  <c r="E85" i="12"/>
  <c r="E89" i="12"/>
  <c r="E93" i="12"/>
  <c r="E97" i="12"/>
  <c r="E23" i="12"/>
  <c r="E62" i="12"/>
  <c r="F5" i="12"/>
  <c r="F9" i="12"/>
  <c r="F13" i="12"/>
  <c r="F17" i="12"/>
  <c r="F21" i="12"/>
  <c r="F25" i="12"/>
  <c r="F29" i="12"/>
  <c r="F33" i="12"/>
  <c r="F37" i="12"/>
  <c r="F41" i="12"/>
  <c r="F45" i="12"/>
  <c r="F49" i="12"/>
  <c r="F53" i="12"/>
  <c r="F6" i="12"/>
  <c r="F10" i="12"/>
  <c r="F14" i="12"/>
  <c r="F18" i="12"/>
  <c r="F22" i="12"/>
  <c r="F26" i="12"/>
  <c r="F30" i="12"/>
  <c r="F34" i="12"/>
  <c r="F38" i="12"/>
  <c r="F42" i="12"/>
  <c r="F8" i="12"/>
  <c r="F16" i="12"/>
  <c r="F24" i="12"/>
  <c r="F32" i="12"/>
  <c r="F35" i="12"/>
  <c r="F36" i="12"/>
  <c r="F48" i="12"/>
  <c r="F51" i="12"/>
  <c r="F55" i="12"/>
  <c r="F59" i="12"/>
  <c r="F63" i="12"/>
  <c r="F67" i="12"/>
  <c r="F7" i="12"/>
  <c r="F15" i="12"/>
  <c r="F23" i="12"/>
  <c r="F31" i="12"/>
  <c r="F52" i="12"/>
  <c r="F54" i="12"/>
  <c r="F58" i="12"/>
  <c r="F62" i="12"/>
  <c r="F66" i="12"/>
  <c r="F70" i="12"/>
  <c r="F39" i="12"/>
  <c r="F40" i="12"/>
  <c r="F12" i="12"/>
  <c r="F20" i="12"/>
  <c r="F28" i="12"/>
  <c r="F46" i="12"/>
  <c r="F57" i="12"/>
  <c r="F61" i="12"/>
  <c r="F65" i="12"/>
  <c r="F69" i="12"/>
  <c r="F11" i="12"/>
  <c r="F19" i="12"/>
  <c r="F27" i="12"/>
  <c r="F43" i="12"/>
  <c r="F44" i="12"/>
  <c r="F47" i="12"/>
  <c r="F50" i="12"/>
  <c r="F56" i="12"/>
  <c r="F60" i="12"/>
  <c r="F64" i="12"/>
  <c r="F68" i="12"/>
  <c r="F72" i="12"/>
  <c r="F76" i="12"/>
  <c r="F80" i="12"/>
  <c r="F84" i="12"/>
  <c r="F88" i="12"/>
  <c r="F92" i="12"/>
  <c r="F96" i="12"/>
  <c r="F75" i="12"/>
  <c r="F79" i="12"/>
  <c r="F83" i="12"/>
  <c r="F87" i="12"/>
  <c r="F91" i="12"/>
  <c r="F95" i="12"/>
  <c r="F99" i="12"/>
  <c r="F73" i="12"/>
  <c r="F4" i="12"/>
  <c r="F78" i="12"/>
  <c r="F82" i="12"/>
  <c r="F86" i="12"/>
  <c r="F90" i="12"/>
  <c r="F94" i="12"/>
  <c r="F98" i="12"/>
  <c r="F71" i="12"/>
  <c r="F74" i="12"/>
  <c r="F77" i="12"/>
  <c r="F81" i="12"/>
  <c r="F85" i="12"/>
  <c r="F89" i="12"/>
  <c r="F93" i="12"/>
  <c r="F97" i="12"/>
  <c r="G6" i="12"/>
  <c r="G10" i="12"/>
  <c r="G14" i="12"/>
  <c r="G18" i="12"/>
  <c r="G22" i="12"/>
  <c r="G26" i="12"/>
  <c r="G30" i="12"/>
  <c r="G34" i="12"/>
  <c r="G38" i="12"/>
  <c r="G42" i="12"/>
  <c r="G46" i="12"/>
  <c r="G50" i="12"/>
  <c r="G5" i="12"/>
  <c r="G7" i="12"/>
  <c r="G11" i="12"/>
  <c r="G15" i="12"/>
  <c r="G19" i="12"/>
  <c r="G23" i="12"/>
  <c r="G27" i="12"/>
  <c r="G31" i="12"/>
  <c r="G9" i="12"/>
  <c r="G17" i="12"/>
  <c r="G25" i="12"/>
  <c r="G33" i="12"/>
  <c r="G43" i="12"/>
  <c r="G44" i="12"/>
  <c r="G47" i="12"/>
  <c r="G56" i="12"/>
  <c r="G60" i="12"/>
  <c r="G64" i="12"/>
  <c r="G68" i="12"/>
  <c r="G72" i="12"/>
  <c r="G8" i="12"/>
  <c r="G13" i="12"/>
  <c r="G21" i="12"/>
  <c r="G29" i="12"/>
  <c r="G49" i="12"/>
  <c r="G52" i="12"/>
  <c r="G54" i="12"/>
  <c r="G58" i="12"/>
  <c r="G62" i="12"/>
  <c r="G66" i="12"/>
  <c r="G70" i="12"/>
  <c r="G74" i="12"/>
  <c r="G39" i="12"/>
  <c r="G40" i="12"/>
  <c r="G41" i="12"/>
  <c r="G12" i="12"/>
  <c r="G20" i="12"/>
  <c r="G28" i="12"/>
  <c r="G53" i="12"/>
  <c r="G57" i="12"/>
  <c r="G61" i="12"/>
  <c r="G65" i="12"/>
  <c r="G69" i="12"/>
  <c r="G73" i="12"/>
  <c r="G24" i="12"/>
  <c r="G67" i="12"/>
  <c r="G71" i="12"/>
  <c r="G77" i="12"/>
  <c r="G81" i="12"/>
  <c r="G85" i="12"/>
  <c r="G89" i="12"/>
  <c r="G93" i="12"/>
  <c r="G97" i="12"/>
  <c r="G16" i="12"/>
  <c r="G48" i="12"/>
  <c r="G63" i="12"/>
  <c r="G35" i="12"/>
  <c r="G59" i="12"/>
  <c r="G76" i="12"/>
  <c r="G80" i="12"/>
  <c r="G84" i="12"/>
  <c r="G88" i="12"/>
  <c r="G92" i="12"/>
  <c r="G96" i="12"/>
  <c r="G36" i="12"/>
  <c r="G55" i="12"/>
  <c r="G4" i="12"/>
  <c r="G37" i="12"/>
  <c r="G75" i="12"/>
  <c r="G79" i="12"/>
  <c r="G83" i="12"/>
  <c r="G87" i="12"/>
  <c r="G91" i="12"/>
  <c r="G95" i="12"/>
  <c r="G99" i="12"/>
  <c r="G45" i="12"/>
  <c r="G51" i="12"/>
  <c r="G78" i="12"/>
  <c r="G82" i="12"/>
  <c r="G86" i="12"/>
  <c r="G90" i="12"/>
  <c r="G94" i="12"/>
  <c r="G98" i="12"/>
  <c r="G32" i="12"/>
  <c r="H6" i="12"/>
  <c r="H10" i="12"/>
  <c r="H14" i="12"/>
  <c r="H18" i="12"/>
  <c r="H22" i="12"/>
  <c r="H26" i="12"/>
  <c r="H30" i="12"/>
  <c r="H34" i="12"/>
  <c r="H38" i="12"/>
  <c r="H42" i="12"/>
  <c r="H46" i="12"/>
  <c r="H50" i="12"/>
  <c r="H5" i="12"/>
  <c r="H7" i="12"/>
  <c r="H11" i="12"/>
  <c r="H15" i="12"/>
  <c r="H19" i="12"/>
  <c r="H23" i="12"/>
  <c r="H27" i="12"/>
  <c r="H31" i="12"/>
  <c r="H35" i="12"/>
  <c r="H39" i="12"/>
  <c r="H43" i="12"/>
  <c r="H9" i="12"/>
  <c r="H17" i="12"/>
  <c r="H25" i="12"/>
  <c r="H33" i="12"/>
  <c r="H44" i="12"/>
  <c r="H47" i="12"/>
  <c r="H56" i="12"/>
  <c r="H60" i="12"/>
  <c r="H64" i="12"/>
  <c r="H68" i="12"/>
  <c r="H8" i="12"/>
  <c r="H16" i="12"/>
  <c r="H24" i="12"/>
  <c r="H32" i="12"/>
  <c r="H36" i="12"/>
  <c r="H37" i="12"/>
  <c r="H45" i="12"/>
  <c r="H48" i="12"/>
  <c r="H51" i="12"/>
  <c r="H55" i="12"/>
  <c r="H59" i="12"/>
  <c r="H63" i="12"/>
  <c r="H67" i="12"/>
  <c r="H71" i="12"/>
  <c r="H13" i="12"/>
  <c r="H21" i="12"/>
  <c r="H29" i="12"/>
  <c r="H49" i="12"/>
  <c r="H52" i="12"/>
  <c r="H54" i="12"/>
  <c r="H58" i="12"/>
  <c r="H62" i="12"/>
  <c r="H66" i="12"/>
  <c r="H70" i="12"/>
  <c r="H40" i="12"/>
  <c r="H41" i="12"/>
  <c r="H12" i="12"/>
  <c r="H20" i="12"/>
  <c r="H28" i="12"/>
  <c r="H53" i="12"/>
  <c r="H57" i="12"/>
  <c r="H61" i="12"/>
  <c r="H65" i="12"/>
  <c r="H69" i="12"/>
  <c r="H74" i="12"/>
  <c r="H77" i="12"/>
  <c r="H81" i="12"/>
  <c r="H85" i="12"/>
  <c r="H89" i="12"/>
  <c r="H93" i="12"/>
  <c r="H97" i="12"/>
  <c r="H4" i="12"/>
  <c r="H76" i="12"/>
  <c r="H80" i="12"/>
  <c r="H84" i="12"/>
  <c r="H88" i="12"/>
  <c r="H92" i="12"/>
  <c r="H96" i="12"/>
  <c r="H72" i="12"/>
  <c r="H73" i="12"/>
  <c r="H75" i="12"/>
  <c r="H79" i="12"/>
  <c r="H83" i="12"/>
  <c r="H87" i="12"/>
  <c r="H91" i="12"/>
  <c r="H95" i="12"/>
  <c r="H99" i="12"/>
  <c r="H78" i="12"/>
  <c r="H82" i="12"/>
  <c r="H86" i="12"/>
  <c r="H90" i="12"/>
  <c r="H94" i="12"/>
  <c r="H98" i="12"/>
  <c r="I7" i="12"/>
  <c r="I11" i="12"/>
  <c r="I15" i="12"/>
  <c r="I19" i="12"/>
  <c r="I23" i="12"/>
  <c r="I27" i="12"/>
  <c r="I31" i="12"/>
  <c r="I35" i="12"/>
  <c r="I39" i="12"/>
  <c r="I43" i="12"/>
  <c r="I47" i="12"/>
  <c r="I51" i="12"/>
  <c r="I5" i="12"/>
  <c r="I8" i="12"/>
  <c r="I12" i="12"/>
  <c r="I16" i="12"/>
  <c r="I20" i="12"/>
  <c r="I24" i="12"/>
  <c r="I28" i="12"/>
  <c r="I32" i="12"/>
  <c r="I10" i="12"/>
  <c r="I18" i="12"/>
  <c r="I26" i="12"/>
  <c r="I50" i="12"/>
  <c r="I53" i="12"/>
  <c r="I57" i="12"/>
  <c r="I61" i="12"/>
  <c r="I65" i="12"/>
  <c r="I69" i="12"/>
  <c r="I34" i="12"/>
  <c r="I9" i="12"/>
  <c r="I6" i="12"/>
  <c r="I14" i="12"/>
  <c r="I22" i="12"/>
  <c r="I30" i="12"/>
  <c r="I36" i="12"/>
  <c r="I37" i="12"/>
  <c r="I38" i="12"/>
  <c r="I45" i="12"/>
  <c r="I48" i="12"/>
  <c r="I55" i="12"/>
  <c r="I59" i="12"/>
  <c r="I63" i="12"/>
  <c r="I67" i="12"/>
  <c r="I71" i="12"/>
  <c r="I13" i="12"/>
  <c r="I21" i="12"/>
  <c r="I29" i="12"/>
  <c r="I46" i="12"/>
  <c r="I49" i="12"/>
  <c r="I52" i="12"/>
  <c r="I54" i="12"/>
  <c r="I58" i="12"/>
  <c r="I62" i="12"/>
  <c r="I66" i="12"/>
  <c r="I70" i="12"/>
  <c r="I74" i="12"/>
  <c r="I40" i="12"/>
  <c r="I41" i="12"/>
  <c r="I42" i="12"/>
  <c r="I33" i="12"/>
  <c r="I78" i="12"/>
  <c r="I82" i="12"/>
  <c r="I86" i="12"/>
  <c r="I90" i="12"/>
  <c r="I94" i="12"/>
  <c r="I98" i="12"/>
  <c r="I25" i="12"/>
  <c r="I4" i="12"/>
  <c r="I17" i="12"/>
  <c r="I68" i="12"/>
  <c r="I77" i="12"/>
  <c r="I81" i="12"/>
  <c r="I85" i="12"/>
  <c r="I89" i="12"/>
  <c r="I93" i="12"/>
  <c r="I97" i="12"/>
  <c r="I64" i="12"/>
  <c r="I44" i="12"/>
  <c r="I60" i="12"/>
  <c r="I76" i="12"/>
  <c r="I80" i="12"/>
  <c r="I84" i="12"/>
  <c r="I88" i="12"/>
  <c r="I92" i="12"/>
  <c r="I96" i="12"/>
  <c r="I56" i="12"/>
  <c r="I72" i="12"/>
  <c r="I73" i="12"/>
  <c r="I75" i="12"/>
  <c r="I79" i="12"/>
  <c r="I83" i="12"/>
  <c r="I87" i="12"/>
  <c r="I91" i="12"/>
  <c r="I95" i="12"/>
  <c r="I99" i="12"/>
  <c r="J7" i="12"/>
  <c r="J11" i="12"/>
  <c r="J15" i="12"/>
  <c r="J19" i="12"/>
  <c r="J23" i="12"/>
  <c r="J27" i="12"/>
  <c r="J31" i="12"/>
  <c r="J35" i="12"/>
  <c r="J39" i="12"/>
  <c r="J43" i="12"/>
  <c r="J47" i="12"/>
  <c r="J51" i="12"/>
  <c r="J5" i="12"/>
  <c r="J8" i="12"/>
  <c r="J12" i="12"/>
  <c r="J16" i="12"/>
  <c r="J20" i="12"/>
  <c r="J24" i="12"/>
  <c r="J28" i="12"/>
  <c r="J32" i="12"/>
  <c r="J36" i="12"/>
  <c r="J40" i="12"/>
  <c r="J41" i="12"/>
  <c r="J42" i="12"/>
  <c r="J10" i="12"/>
  <c r="J18" i="12"/>
  <c r="J26" i="12"/>
  <c r="J50" i="12"/>
  <c r="J53" i="12"/>
  <c r="J57" i="12"/>
  <c r="J61" i="12"/>
  <c r="J65" i="12"/>
  <c r="J69" i="12"/>
  <c r="J9" i="12"/>
  <c r="J17" i="12"/>
  <c r="J25" i="12"/>
  <c r="J33" i="12"/>
  <c r="J44" i="12"/>
  <c r="J56" i="12"/>
  <c r="J60" i="12"/>
  <c r="J64" i="12"/>
  <c r="J68" i="12"/>
  <c r="J72" i="12"/>
  <c r="J6" i="12"/>
  <c r="J14" i="12"/>
  <c r="J22" i="12"/>
  <c r="J30" i="12"/>
  <c r="J37" i="12"/>
  <c r="J38" i="12"/>
  <c r="J45" i="12"/>
  <c r="J48" i="12"/>
  <c r="J55" i="12"/>
  <c r="J59" i="12"/>
  <c r="J63" i="12"/>
  <c r="J67" i="12"/>
  <c r="J13" i="12"/>
  <c r="J21" i="12"/>
  <c r="J29" i="12"/>
  <c r="J46" i="12"/>
  <c r="J49" i="12"/>
  <c r="J52" i="12"/>
  <c r="J54" i="12"/>
  <c r="J58" i="12"/>
  <c r="J62" i="12"/>
  <c r="J66" i="12"/>
  <c r="J70" i="12"/>
  <c r="J4" i="12"/>
  <c r="J34" i="12"/>
  <c r="J71" i="12"/>
  <c r="J74" i="12"/>
  <c r="J78" i="12"/>
  <c r="J82" i="12"/>
  <c r="J86" i="12"/>
  <c r="J90" i="12"/>
  <c r="J94" i="12"/>
  <c r="J98" i="12"/>
  <c r="J77" i="12"/>
  <c r="J81" i="12"/>
  <c r="J85" i="12"/>
  <c r="J89" i="12"/>
  <c r="J93" i="12"/>
  <c r="J97" i="12"/>
  <c r="J76" i="12"/>
  <c r="J80" i="12"/>
  <c r="J84" i="12"/>
  <c r="J88" i="12"/>
  <c r="J92" i="12"/>
  <c r="J96" i="12"/>
  <c r="J73" i="12"/>
  <c r="J75" i="12"/>
  <c r="J79" i="12"/>
  <c r="J83" i="12"/>
  <c r="J87" i="12"/>
  <c r="J91" i="12"/>
  <c r="J95" i="12"/>
  <c r="J99" i="12"/>
  <c r="K8" i="12"/>
  <c r="K12" i="12"/>
  <c r="K16" i="12"/>
  <c r="K20" i="12"/>
  <c r="K24" i="12"/>
  <c r="K28" i="12"/>
  <c r="K32" i="12"/>
  <c r="K36" i="12"/>
  <c r="K40" i="12"/>
  <c r="K44" i="12"/>
  <c r="K48" i="12"/>
  <c r="K52" i="12"/>
  <c r="K5" i="12"/>
  <c r="K9" i="12"/>
  <c r="K13" i="12"/>
  <c r="K17" i="12"/>
  <c r="K21" i="12"/>
  <c r="K25" i="12"/>
  <c r="K29" i="12"/>
  <c r="K33" i="12"/>
  <c r="K11" i="12"/>
  <c r="K19" i="12"/>
  <c r="K27" i="12"/>
  <c r="K46" i="12"/>
  <c r="K49" i="12"/>
  <c r="K54" i="12"/>
  <c r="K58" i="12"/>
  <c r="K62" i="12"/>
  <c r="K66" i="12"/>
  <c r="K70" i="12"/>
  <c r="K41" i="12"/>
  <c r="K42" i="12"/>
  <c r="K43" i="12"/>
  <c r="K10" i="12"/>
  <c r="K34" i="12"/>
  <c r="K35" i="12"/>
  <c r="K7" i="12"/>
  <c r="K15" i="12"/>
  <c r="K23" i="12"/>
  <c r="K31" i="12"/>
  <c r="K51" i="12"/>
  <c r="K56" i="12"/>
  <c r="K60" i="12"/>
  <c r="K64" i="12"/>
  <c r="K68" i="12"/>
  <c r="K72" i="12"/>
  <c r="K6" i="12"/>
  <c r="K14" i="12"/>
  <c r="K22" i="12"/>
  <c r="K30" i="12"/>
  <c r="K37" i="12"/>
  <c r="K38" i="12"/>
  <c r="K39" i="12"/>
  <c r="K45" i="12"/>
  <c r="K55" i="12"/>
  <c r="K59" i="12"/>
  <c r="K63" i="12"/>
  <c r="K67" i="12"/>
  <c r="K71" i="12"/>
  <c r="K47" i="12"/>
  <c r="K53" i="12"/>
  <c r="K73" i="12"/>
  <c r="K75" i="12"/>
  <c r="K79" i="12"/>
  <c r="K83" i="12"/>
  <c r="K87" i="12"/>
  <c r="K91" i="12"/>
  <c r="K95" i="12"/>
  <c r="K99" i="12"/>
  <c r="K26" i="12"/>
  <c r="K74" i="12"/>
  <c r="K78" i="12"/>
  <c r="K82" i="12"/>
  <c r="K86" i="12"/>
  <c r="K90" i="12"/>
  <c r="K94" i="12"/>
  <c r="K98" i="12"/>
  <c r="K18" i="12"/>
  <c r="K50" i="12"/>
  <c r="K69" i="12"/>
  <c r="K77" i="12"/>
  <c r="K81" i="12"/>
  <c r="K85" i="12"/>
  <c r="K89" i="12"/>
  <c r="K93" i="12"/>
  <c r="K97" i="12"/>
  <c r="K65" i="12"/>
  <c r="K61" i="12"/>
  <c r="K76" i="12"/>
  <c r="K80" i="12"/>
  <c r="K84" i="12"/>
  <c r="K88" i="12"/>
  <c r="K92" i="12"/>
  <c r="K96" i="12"/>
  <c r="K57" i="12"/>
  <c r="K4" i="12"/>
  <c r="S91" i="8"/>
  <c r="S6" i="8"/>
  <c r="S5" i="8"/>
  <c r="S97" i="8"/>
  <c r="S26" i="8"/>
  <c r="S41" i="8"/>
  <c r="S78" i="8"/>
  <c r="S62" i="8"/>
  <c r="M22" i="8"/>
  <c r="M68" i="8"/>
  <c r="M79" i="8"/>
  <c r="M9" i="8"/>
  <c r="K2" i="2"/>
  <c r="L2" i="2" s="1"/>
  <c r="M54" i="8"/>
  <c r="O17" i="1"/>
  <c r="O24" i="1"/>
  <c r="O23" i="1"/>
  <c r="O22" i="1"/>
  <c r="O21" i="1"/>
  <c r="O20" i="1"/>
  <c r="O19" i="1"/>
  <c r="S89" i="8"/>
  <c r="S88" i="8"/>
  <c r="K13" i="2"/>
  <c r="L13" i="2" s="1"/>
  <c r="S95" i="8"/>
  <c r="S57" i="8"/>
  <c r="S36" i="8"/>
  <c r="S72" i="8"/>
  <c r="S33" i="8"/>
  <c r="S51" i="8"/>
  <c r="S94" i="8"/>
  <c r="S73" i="8"/>
  <c r="S50" i="8"/>
  <c r="S15" i="8"/>
  <c r="S82" i="8"/>
  <c r="S58" i="8"/>
  <c r="W56" i="8"/>
  <c r="S30" i="8"/>
  <c r="K14" i="2"/>
  <c r="L14" i="2" s="1"/>
  <c r="W94" i="8"/>
  <c r="W87" i="8"/>
  <c r="K45" i="2"/>
  <c r="L45" i="2" s="1"/>
  <c r="S2" i="8"/>
  <c r="S68" i="8"/>
  <c r="S29" i="8"/>
  <c r="S14" i="8"/>
  <c r="S76" i="8"/>
  <c r="S40" i="8"/>
  <c r="K29" i="2"/>
  <c r="L29" i="2" s="1"/>
  <c r="S83" i="8"/>
  <c r="S66" i="8"/>
  <c r="S48" i="8"/>
  <c r="S32" i="8"/>
  <c r="S22" i="8"/>
  <c r="S11" i="8"/>
  <c r="S63" i="8"/>
  <c r="S56" i="8"/>
  <c r="S42" i="8"/>
  <c r="S21" i="8"/>
  <c r="W3" i="8"/>
  <c r="K22" i="2"/>
  <c r="L22" i="2" s="1"/>
  <c r="K5" i="2"/>
  <c r="L5" i="2" s="1"/>
  <c r="K21" i="2"/>
  <c r="L21" i="2" s="1"/>
  <c r="S77" i="8"/>
  <c r="S69" i="8"/>
  <c r="S61" i="8"/>
  <c r="S55" i="8"/>
  <c r="S47" i="8"/>
  <c r="S35" i="8"/>
  <c r="S28" i="8"/>
  <c r="S20" i="8"/>
  <c r="S93" i="8"/>
  <c r="S84" i="8"/>
  <c r="S60" i="8"/>
  <c r="S44" i="8"/>
  <c r="S34" i="8"/>
  <c r="S27" i="8"/>
  <c r="S17" i="8"/>
  <c r="S10" i="8"/>
  <c r="K38" i="2"/>
  <c r="L38" i="2" s="1"/>
  <c r="K6" i="2"/>
  <c r="L6" i="2" s="1"/>
  <c r="K37" i="2"/>
  <c r="L37" i="2" s="1"/>
  <c r="S96" i="8"/>
  <c r="S92" i="8"/>
  <c r="S87" i="8"/>
  <c r="S74" i="8"/>
  <c r="S46" i="8"/>
  <c r="S39" i="8"/>
  <c r="S23" i="8"/>
  <c r="S16" i="8"/>
  <c r="S9" i="8"/>
  <c r="K47" i="2"/>
  <c r="L47" i="2" s="1"/>
  <c r="K46" i="2"/>
  <c r="L46" i="2" s="1"/>
  <c r="W90" i="8"/>
  <c r="S86" i="8"/>
  <c r="S79" i="8"/>
  <c r="S67" i="8"/>
  <c r="S52" i="8"/>
  <c r="S45" i="8"/>
  <c r="W42" i="8"/>
  <c r="S38" i="8"/>
  <c r="S8" i="8"/>
  <c r="K23" i="2"/>
  <c r="L23" i="2" s="1"/>
  <c r="AN94" i="8"/>
  <c r="K15" i="2"/>
  <c r="L15" i="2" s="1"/>
  <c r="W82" i="8"/>
  <c r="AN93" i="8"/>
  <c r="AL2" i="8"/>
  <c r="AL7" i="8"/>
  <c r="AN2" i="8"/>
  <c r="AN6" i="8"/>
  <c r="AN22" i="8"/>
  <c r="AN26" i="8"/>
  <c r="AN30" i="8"/>
  <c r="AN46" i="8"/>
  <c r="AN50" i="8"/>
  <c r="AN54" i="8"/>
  <c r="AN70" i="8"/>
  <c r="AN74" i="8"/>
  <c r="AN78" i="8"/>
  <c r="AQ2" i="8"/>
  <c r="AQ6" i="8"/>
  <c r="AQ22" i="8"/>
  <c r="AQ26" i="8"/>
  <c r="AQ30" i="8"/>
  <c r="AQ46" i="8"/>
  <c r="AQ50" i="8"/>
  <c r="AQ54" i="8"/>
  <c r="AQ70" i="8"/>
  <c r="AQ74" i="8"/>
  <c r="AQ78" i="8"/>
  <c r="AQ94" i="8"/>
  <c r="AL6" i="8"/>
  <c r="AN13" i="8"/>
  <c r="AN5" i="8"/>
  <c r="AN21" i="8"/>
  <c r="AN37" i="8"/>
  <c r="AN29" i="8"/>
  <c r="AN45" i="8"/>
  <c r="AN61" i="8"/>
  <c r="AN53" i="8"/>
  <c r="AN69" i="8"/>
  <c r="AN85" i="8"/>
  <c r="AN77" i="8"/>
  <c r="AQ13" i="8"/>
  <c r="AQ5" i="8"/>
  <c r="AQ21" i="8"/>
  <c r="AQ37" i="8"/>
  <c r="AQ29" i="8"/>
  <c r="AQ45" i="8"/>
  <c r="AQ61" i="8"/>
  <c r="AQ53" i="8"/>
  <c r="AQ69" i="8"/>
  <c r="AQ85" i="8"/>
  <c r="AQ77" i="8"/>
  <c r="AQ93" i="8"/>
  <c r="AL13" i="8"/>
  <c r="AL5" i="8"/>
  <c r="AN12" i="8"/>
  <c r="AN4" i="8"/>
  <c r="AN20" i="8"/>
  <c r="AN36" i="8"/>
  <c r="AN28" i="8"/>
  <c r="AN44" i="8"/>
  <c r="AN60" i="8"/>
  <c r="AN52" i="8"/>
  <c r="AN68" i="8"/>
  <c r="AN84" i="8"/>
  <c r="AN76" i="8"/>
  <c r="AN92" i="8"/>
  <c r="AQ12" i="8"/>
  <c r="AQ4" i="8"/>
  <c r="AQ20" i="8"/>
  <c r="AQ36" i="8"/>
  <c r="AQ28" i="8"/>
  <c r="AQ44" i="8"/>
  <c r="AQ60" i="8"/>
  <c r="AQ52" i="8"/>
  <c r="AQ68" i="8"/>
  <c r="AQ84" i="8"/>
  <c r="AQ76" i="8"/>
  <c r="AQ92" i="8"/>
  <c r="AL12" i="8"/>
  <c r="AL4" i="8"/>
  <c r="AN11" i="8"/>
  <c r="AN3" i="8"/>
  <c r="AN19" i="8"/>
  <c r="AN35" i="8"/>
  <c r="AN27" i="8"/>
  <c r="AN43" i="8"/>
  <c r="AN59" i="8"/>
  <c r="AN51" i="8"/>
  <c r="AN67" i="8"/>
  <c r="AN83" i="8"/>
  <c r="AN75" i="8"/>
  <c r="AN91" i="8"/>
  <c r="AQ11" i="8"/>
  <c r="AQ3" i="8"/>
  <c r="AQ19" i="8"/>
  <c r="AQ35" i="8"/>
  <c r="AQ27" i="8"/>
  <c r="AQ43" i="8"/>
  <c r="AQ59" i="8"/>
  <c r="AQ51" i="8"/>
  <c r="AQ67" i="8"/>
  <c r="AQ83" i="8"/>
  <c r="AQ75" i="8"/>
  <c r="AQ91" i="8"/>
  <c r="AL11" i="8"/>
  <c r="AL3" i="8"/>
  <c r="AN10" i="8"/>
  <c r="AN14" i="8"/>
  <c r="AN18" i="8"/>
  <c r="AN34" i="8"/>
  <c r="AN38" i="8"/>
  <c r="AN42" i="8"/>
  <c r="AN58" i="8"/>
  <c r="AN62" i="8"/>
  <c r="AN66" i="8"/>
  <c r="AN82" i="8"/>
  <c r="AN86" i="8"/>
  <c r="AN90" i="8"/>
  <c r="AQ10" i="8"/>
  <c r="AQ14" i="8"/>
  <c r="AQ18" i="8"/>
  <c r="AQ34" i="8"/>
  <c r="AQ38" i="8"/>
  <c r="AQ42" i="8"/>
  <c r="AQ58" i="8"/>
  <c r="AQ62" i="8"/>
  <c r="AQ66" i="8"/>
  <c r="AQ82" i="8"/>
  <c r="AQ86" i="8"/>
  <c r="AQ90" i="8"/>
  <c r="U95" i="8"/>
  <c r="U94" i="8"/>
  <c r="S81" i="8"/>
  <c r="S75" i="8"/>
  <c r="W74" i="8"/>
  <c r="S71" i="8"/>
  <c r="S65" i="8"/>
  <c r="S59" i="8"/>
  <c r="S54" i="8"/>
  <c r="S49" i="8"/>
  <c r="W48" i="8"/>
  <c r="S43" i="8"/>
  <c r="S37" i="8"/>
  <c r="S31" i="8"/>
  <c r="S25" i="8"/>
  <c r="S19" i="8"/>
  <c r="S13" i="8"/>
  <c r="S7" i="8"/>
  <c r="AL10" i="8"/>
  <c r="AN9" i="8"/>
  <c r="AN25" i="8"/>
  <c r="AN17" i="8"/>
  <c r="AN33" i="8"/>
  <c r="AN49" i="8"/>
  <c r="AN41" i="8"/>
  <c r="AN57" i="8"/>
  <c r="AN73" i="8"/>
  <c r="AN65" i="8"/>
  <c r="AN81" i="8"/>
  <c r="AN97" i="8"/>
  <c r="AN89" i="8"/>
  <c r="AQ9" i="8"/>
  <c r="AQ25" i="8"/>
  <c r="AQ17" i="8"/>
  <c r="AQ33" i="8"/>
  <c r="AQ49" i="8"/>
  <c r="AQ41" i="8"/>
  <c r="AQ57" i="8"/>
  <c r="AQ73" i="8"/>
  <c r="AQ65" i="8"/>
  <c r="AQ81" i="8"/>
  <c r="AQ97" i="8"/>
  <c r="AQ89" i="8"/>
  <c r="K30" i="2"/>
  <c r="L30" i="2" s="1"/>
  <c r="M90" i="8"/>
  <c r="M48" i="8"/>
  <c r="M10" i="8"/>
  <c r="S90" i="8"/>
  <c r="S85" i="8"/>
  <c r="S80" i="8"/>
  <c r="S70" i="8"/>
  <c r="S64" i="8"/>
  <c r="S53" i="8"/>
  <c r="W52" i="8"/>
  <c r="S24" i="8"/>
  <c r="S18" i="8"/>
  <c r="S12" i="8"/>
  <c r="AL9" i="8"/>
  <c r="AN8" i="8"/>
  <c r="AN24" i="8"/>
  <c r="AN16" i="8"/>
  <c r="AN32" i="8"/>
  <c r="AN48" i="8"/>
  <c r="AN40" i="8"/>
  <c r="AN56" i="8"/>
  <c r="AN72" i="8"/>
  <c r="AN64" i="8"/>
  <c r="AN80" i="8"/>
  <c r="AN96" i="8"/>
  <c r="AN88" i="8"/>
  <c r="AQ8" i="8"/>
  <c r="AQ24" i="8"/>
  <c r="AQ16" i="8"/>
  <c r="AQ32" i="8"/>
  <c r="AQ48" i="8"/>
  <c r="AQ40" i="8"/>
  <c r="AQ56" i="8"/>
  <c r="AQ72" i="8"/>
  <c r="AQ64" i="8"/>
  <c r="AQ80" i="8"/>
  <c r="AQ96" i="8"/>
  <c r="AQ88" i="8"/>
  <c r="AL8" i="8"/>
  <c r="AN23" i="8"/>
  <c r="AN47" i="8"/>
  <c r="AN39" i="8"/>
  <c r="AN55" i="8"/>
  <c r="AN71" i="8"/>
  <c r="AN63" i="8"/>
  <c r="AN79" i="8"/>
  <c r="AN95" i="8"/>
  <c r="AQ23" i="8"/>
  <c r="AQ47" i="8"/>
  <c r="AQ55" i="8"/>
  <c r="AQ71" i="8"/>
  <c r="AQ63" i="8"/>
  <c r="AQ79" i="8"/>
  <c r="AQ95" i="8"/>
  <c r="AE96" i="8"/>
  <c r="AE86" i="8"/>
  <c r="AE77" i="8"/>
  <c r="AE64" i="8"/>
  <c r="W62" i="8"/>
  <c r="AE55" i="8"/>
  <c r="AE47" i="8"/>
  <c r="W40" i="8"/>
  <c r="AE32" i="8"/>
  <c r="AE28" i="8"/>
  <c r="AE18" i="8"/>
  <c r="AE8" i="8"/>
  <c r="AH13" i="8"/>
  <c r="AH9" i="8"/>
  <c r="AH18" i="8"/>
  <c r="AH26" i="8"/>
  <c r="AH34" i="8"/>
  <c r="AH42" i="8"/>
  <c r="AH50" i="8"/>
  <c r="AH58" i="8"/>
  <c r="AH66" i="8"/>
  <c r="AH74" i="8"/>
  <c r="AH82" i="8"/>
  <c r="AH90" i="8"/>
  <c r="AI2" i="8"/>
  <c r="AI10" i="8"/>
  <c r="AI18" i="8"/>
  <c r="AI26" i="8"/>
  <c r="AI34" i="8"/>
  <c r="AI42" i="8"/>
  <c r="AI50" i="8"/>
  <c r="AI58" i="8"/>
  <c r="AI66" i="8"/>
  <c r="AI74" i="8"/>
  <c r="AI82" i="8"/>
  <c r="AI90" i="8"/>
  <c r="AK3" i="8"/>
  <c r="AK11" i="8"/>
  <c r="AK18" i="8"/>
  <c r="AK26" i="8"/>
  <c r="AK34" i="8"/>
  <c r="AK42" i="8"/>
  <c r="AK50" i="8"/>
  <c r="AK58" i="8"/>
  <c r="AK66" i="8"/>
  <c r="AK74" i="8"/>
  <c r="AK82" i="8"/>
  <c r="AK90" i="8"/>
  <c r="K32" i="2"/>
  <c r="L32" i="2" s="1"/>
  <c r="K31" i="2"/>
  <c r="L31" i="2" s="1"/>
  <c r="W26" i="8"/>
  <c r="AA74" i="8"/>
  <c r="Y33" i="8"/>
  <c r="AH10" i="8"/>
  <c r="AH19" i="8"/>
  <c r="AH27" i="8"/>
  <c r="AH35" i="8"/>
  <c r="AH43" i="8"/>
  <c r="AH51" i="8"/>
  <c r="AH59" i="8"/>
  <c r="AH67" i="8"/>
  <c r="AH75" i="8"/>
  <c r="AH83" i="8"/>
  <c r="AH91" i="8"/>
  <c r="AI3" i="8"/>
  <c r="AI11" i="8"/>
  <c r="AI19" i="8"/>
  <c r="AI27" i="8"/>
  <c r="AI35" i="8"/>
  <c r="AI43" i="8"/>
  <c r="AI51" i="8"/>
  <c r="AI59" i="8"/>
  <c r="AI67" i="8"/>
  <c r="AI75" i="8"/>
  <c r="AI83" i="8"/>
  <c r="AI91" i="8"/>
  <c r="AK4" i="8"/>
  <c r="AK12" i="8"/>
  <c r="AK19" i="8"/>
  <c r="AK27" i="8"/>
  <c r="AK35" i="8"/>
  <c r="AK43" i="8"/>
  <c r="AK51" i="8"/>
  <c r="AK59" i="8"/>
  <c r="AK67" i="8"/>
  <c r="AK75" i="8"/>
  <c r="AK83" i="8"/>
  <c r="AK91" i="8"/>
  <c r="AH3" i="8"/>
  <c r="AH11" i="8"/>
  <c r="AH20" i="8"/>
  <c r="AH28" i="8"/>
  <c r="AH36" i="8"/>
  <c r="AH44" i="8"/>
  <c r="AH52" i="8"/>
  <c r="AH60" i="8"/>
  <c r="AH68" i="8"/>
  <c r="AH76" i="8"/>
  <c r="AH84" i="8"/>
  <c r="AH92" i="8"/>
  <c r="AI4" i="8"/>
  <c r="AI12" i="8"/>
  <c r="AI20" i="8"/>
  <c r="AI28" i="8"/>
  <c r="AI36" i="8"/>
  <c r="AI44" i="8"/>
  <c r="AI52" i="8"/>
  <c r="AI60" i="8"/>
  <c r="AI68" i="8"/>
  <c r="AI76" i="8"/>
  <c r="AI84" i="8"/>
  <c r="AI92" i="8"/>
  <c r="AK5" i="8"/>
  <c r="AK13" i="8"/>
  <c r="AK20" i="8"/>
  <c r="AK28" i="8"/>
  <c r="AK36" i="8"/>
  <c r="AK44" i="8"/>
  <c r="AK52" i="8"/>
  <c r="AK60" i="8"/>
  <c r="AK68" i="8"/>
  <c r="AK76" i="8"/>
  <c r="AK84" i="8"/>
  <c r="AK92" i="8"/>
  <c r="AF13" i="8"/>
  <c r="AF37" i="8"/>
  <c r="AF61" i="8"/>
  <c r="AF85" i="8"/>
  <c r="AH4" i="8"/>
  <c r="AH12" i="8"/>
  <c r="AH21" i="8"/>
  <c r="AH29" i="8"/>
  <c r="AH37" i="8"/>
  <c r="AH45" i="8"/>
  <c r="AH53" i="8"/>
  <c r="AH61" i="8"/>
  <c r="AH69" i="8"/>
  <c r="AH77" i="8"/>
  <c r="AH85" i="8"/>
  <c r="AH93" i="8"/>
  <c r="AI5" i="8"/>
  <c r="AI13" i="8"/>
  <c r="AI21" i="8"/>
  <c r="AI29" i="8"/>
  <c r="AI37" i="8"/>
  <c r="AI45" i="8"/>
  <c r="AI53" i="8"/>
  <c r="AI61" i="8"/>
  <c r="AI69" i="8"/>
  <c r="AI77" i="8"/>
  <c r="AI85" i="8"/>
  <c r="AI93" i="8"/>
  <c r="AK6" i="8"/>
  <c r="AK2" i="8"/>
  <c r="AK21" i="8"/>
  <c r="AK29" i="8"/>
  <c r="AK37" i="8"/>
  <c r="AK45" i="8"/>
  <c r="AK53" i="8"/>
  <c r="AK61" i="8"/>
  <c r="AK69" i="8"/>
  <c r="AK77" i="8"/>
  <c r="AK85" i="8"/>
  <c r="AK93" i="8"/>
  <c r="AH5" i="8"/>
  <c r="AH14" i="8"/>
  <c r="AH22" i="8"/>
  <c r="AH30" i="8"/>
  <c r="AH38" i="8"/>
  <c r="AH46" i="8"/>
  <c r="AH54" i="8"/>
  <c r="AH62" i="8"/>
  <c r="AH70" i="8"/>
  <c r="AH78" i="8"/>
  <c r="AI6" i="8"/>
  <c r="AI14" i="8"/>
  <c r="AI22" i="8"/>
  <c r="AI30" i="8"/>
  <c r="AI38" i="8"/>
  <c r="AI46" i="8"/>
  <c r="AI54" i="8"/>
  <c r="AI62" i="8"/>
  <c r="AI70" i="8"/>
  <c r="AK7" i="8"/>
  <c r="AK14" i="8"/>
  <c r="AK22" i="8"/>
  <c r="AK30" i="8"/>
  <c r="AK38" i="8"/>
  <c r="AK46" i="8"/>
  <c r="AK54" i="8"/>
  <c r="AK62" i="8"/>
  <c r="AK70" i="8"/>
  <c r="AK86" i="8"/>
  <c r="AK94" i="8"/>
  <c r="AA21" i="8"/>
  <c r="AH6" i="8"/>
  <c r="AH15" i="8"/>
  <c r="AH23" i="8"/>
  <c r="AH31" i="8"/>
  <c r="AH39" i="8"/>
  <c r="AH47" i="8"/>
  <c r="AH55" i="8"/>
  <c r="AH63" i="8"/>
  <c r="AH71" i="8"/>
  <c r="AH79" i="8"/>
  <c r="AI7" i="8"/>
  <c r="AI15" i="8"/>
  <c r="AI23" i="8"/>
  <c r="AI31" i="8"/>
  <c r="AI39" i="8"/>
  <c r="AI47" i="8"/>
  <c r="AI55" i="8"/>
  <c r="AI63" i="8"/>
  <c r="AI71" i="8"/>
  <c r="AK8" i="8"/>
  <c r="AK15" i="8"/>
  <c r="AK23" i="8"/>
  <c r="AK31" i="8"/>
  <c r="AK39" i="8"/>
  <c r="AK47" i="8"/>
  <c r="AK55" i="8"/>
  <c r="AK63" i="8"/>
  <c r="AK71" i="8"/>
  <c r="AK87" i="8"/>
  <c r="AK95" i="8"/>
  <c r="AH7" i="8"/>
  <c r="AH16" i="8"/>
  <c r="AH24" i="8"/>
  <c r="AH32" i="8"/>
  <c r="AH40" i="8"/>
  <c r="AH48" i="8"/>
  <c r="AH56" i="8"/>
  <c r="AH64" i="8"/>
  <c r="AH72" i="8"/>
  <c r="AH80" i="8"/>
  <c r="AI8" i="8"/>
  <c r="AI16" i="8"/>
  <c r="AI24" i="8"/>
  <c r="AI32" i="8"/>
  <c r="AI40" i="8"/>
  <c r="AI48" i="8"/>
  <c r="AI56" i="8"/>
  <c r="AI64" i="8"/>
  <c r="AI72" i="8"/>
  <c r="AK9" i="8"/>
  <c r="AK16" i="8"/>
  <c r="AK24" i="8"/>
  <c r="AK32" i="8"/>
  <c r="AK40" i="8"/>
  <c r="AK48" i="8"/>
  <c r="AK56" i="8"/>
  <c r="AK64" i="8"/>
  <c r="AK72" i="8"/>
  <c r="AK88" i="8"/>
  <c r="AK96" i="8"/>
  <c r="W50" i="8"/>
  <c r="W46" i="8"/>
  <c r="AA94" i="8"/>
  <c r="U93" i="8"/>
  <c r="AE90" i="8"/>
  <c r="U89" i="8"/>
  <c r="W76" i="8"/>
  <c r="AE70" i="8"/>
  <c r="AE60" i="8"/>
  <c r="AE42" i="8"/>
  <c r="AE38" i="8"/>
  <c r="W31" i="8"/>
  <c r="AF25" i="8"/>
  <c r="AF49" i="8"/>
  <c r="AF73" i="8"/>
  <c r="AH8" i="8"/>
  <c r="AH17" i="8"/>
  <c r="AH25" i="8"/>
  <c r="AH33" i="8"/>
  <c r="AH41" i="8"/>
  <c r="AH49" i="8"/>
  <c r="AH57" i="8"/>
  <c r="AH65" i="8"/>
  <c r="AH73" i="8"/>
  <c r="AI9" i="8"/>
  <c r="AI17" i="8"/>
  <c r="AI25" i="8"/>
  <c r="AI33" i="8"/>
  <c r="AI41" i="8"/>
  <c r="AI49" i="8"/>
  <c r="AI57" i="8"/>
  <c r="AI65" i="8"/>
  <c r="AI73" i="8"/>
  <c r="AK17" i="8"/>
  <c r="AK25" i="8"/>
  <c r="AK33" i="8"/>
  <c r="AK41" i="8"/>
  <c r="AK49" i="8"/>
  <c r="AK57" i="8"/>
  <c r="AK65" i="8"/>
  <c r="AK73" i="8"/>
  <c r="AC57" i="8"/>
  <c r="AA84" i="8"/>
  <c r="AA46" i="8"/>
  <c r="AA24" i="8"/>
  <c r="AA96" i="8"/>
  <c r="AA87" i="8"/>
  <c r="AA60" i="8"/>
  <c r="AA49" i="8"/>
  <c r="AA37" i="8"/>
  <c r="AA5" i="8"/>
  <c r="AA79" i="8"/>
  <c r="AA52" i="8"/>
  <c r="AA28" i="8"/>
  <c r="AA14" i="8"/>
  <c r="Y60" i="8"/>
  <c r="AA40" i="8"/>
  <c r="AA89" i="8"/>
  <c r="Y79" i="8"/>
  <c r="AA62" i="8"/>
  <c r="Y9" i="8"/>
  <c r="AA92" i="8"/>
  <c r="AA66" i="8"/>
  <c r="AC84" i="8"/>
  <c r="AC81" i="8"/>
  <c r="AC71" i="8"/>
  <c r="AC89" i="8"/>
  <c r="AC65" i="8"/>
  <c r="AC76" i="8"/>
  <c r="AC30" i="8"/>
  <c r="AA76" i="8"/>
  <c r="AA68" i="8"/>
  <c r="AA57" i="8"/>
  <c r="AC51" i="8"/>
  <c r="AA17" i="8"/>
  <c r="AC10" i="8"/>
  <c r="AA8" i="8"/>
  <c r="AA4" i="8"/>
  <c r="AC97" i="8"/>
  <c r="AA95" i="8"/>
  <c r="AA91" i="8"/>
  <c r="AC86" i="8"/>
  <c r="AA81" i="8"/>
  <c r="AC73" i="8"/>
  <c r="AC61" i="8"/>
  <c r="AC59" i="8"/>
  <c r="AA54" i="8"/>
  <c r="AC45" i="8"/>
  <c r="AA42" i="8"/>
  <c r="AA36" i="8"/>
  <c r="AA30" i="8"/>
  <c r="AA20" i="8"/>
  <c r="AA13" i="8"/>
  <c r="AC3" i="8"/>
  <c r="AC93" i="8"/>
  <c r="AA83" i="8"/>
  <c r="AA78" i="8"/>
  <c r="AA70" i="8"/>
  <c r="Y68" i="8"/>
  <c r="AA56" i="8"/>
  <c r="AA32" i="8"/>
  <c r="AA26" i="8"/>
  <c r="AC22" i="8"/>
  <c r="AA10" i="8"/>
  <c r="Y2" i="8"/>
  <c r="AA97" i="8"/>
  <c r="Y95" i="8"/>
  <c r="AA88" i="8"/>
  <c r="AA75" i="8"/>
  <c r="AC69" i="8"/>
  <c r="AC67" i="8"/>
  <c r="AA64" i="8"/>
  <c r="AA61" i="8"/>
  <c r="AA53" i="8"/>
  <c r="AA45" i="8"/>
  <c r="AC34" i="8"/>
  <c r="AA29" i="8"/>
  <c r="AA12" i="8"/>
  <c r="AA6" i="8"/>
  <c r="AA3" i="8"/>
  <c r="AC94" i="8"/>
  <c r="AA90" i="8"/>
  <c r="AA80" i="8"/>
  <c r="AC47" i="8"/>
  <c r="AA41" i="8"/>
  <c r="AA38" i="8"/>
  <c r="AA25" i="8"/>
  <c r="AA22" i="8"/>
  <c r="Y19" i="8"/>
  <c r="AA9" i="8"/>
  <c r="AC5" i="8"/>
  <c r="AA2" i="8"/>
  <c r="AA85" i="8"/>
  <c r="AA72" i="8"/>
  <c r="AA69" i="8"/>
  <c r="AA58" i="8"/>
  <c r="AC55" i="8"/>
  <c r="AC49" i="8"/>
  <c r="AA44" i="8"/>
  <c r="AC18" i="8"/>
  <c r="K8" i="2"/>
  <c r="L8" i="2" s="1"/>
  <c r="AC4" i="8"/>
  <c r="AC8" i="8"/>
  <c r="AC12" i="8"/>
  <c r="AC16" i="8"/>
  <c r="AC20" i="8"/>
  <c r="AC24" i="8"/>
  <c r="AC28" i="8"/>
  <c r="AC32" i="8"/>
  <c r="AC36" i="8"/>
  <c r="AC40" i="8"/>
  <c r="AC44" i="8"/>
  <c r="AC48" i="8"/>
  <c r="AC52" i="8"/>
  <c r="AC56" i="8"/>
  <c r="AC60" i="8"/>
  <c r="AC64" i="8"/>
  <c r="AC68" i="8"/>
  <c r="AC9" i="8"/>
  <c r="AC26" i="8"/>
  <c r="AC31" i="8"/>
  <c r="AC41" i="8"/>
  <c r="AC58" i="8"/>
  <c r="AC63" i="8"/>
  <c r="AC74" i="8"/>
  <c r="AC78" i="8"/>
  <c r="AC83" i="8"/>
  <c r="AC87" i="8"/>
  <c r="AC95" i="8"/>
  <c r="AC21" i="8"/>
  <c r="AC38" i="8"/>
  <c r="AC43" i="8"/>
  <c r="AC53" i="8"/>
  <c r="AC70" i="8"/>
  <c r="AC6" i="8"/>
  <c r="AC11" i="8"/>
  <c r="U97" i="8"/>
  <c r="AC92" i="8"/>
  <c r="U92" i="8"/>
  <c r="Y87" i="8"/>
  <c r="Y82" i="8"/>
  <c r="AC80" i="8"/>
  <c r="AC75" i="8"/>
  <c r="Y74" i="8"/>
  <c r="Y64" i="8"/>
  <c r="Y56" i="8"/>
  <c r="Y48" i="8"/>
  <c r="Y44" i="8"/>
  <c r="AC39" i="8"/>
  <c r="W38" i="8"/>
  <c r="W36" i="8"/>
  <c r="AC35" i="8"/>
  <c r="Y31" i="8"/>
  <c r="W28" i="8"/>
  <c r="AC27" i="8"/>
  <c r="Y11" i="8"/>
  <c r="Y7" i="8"/>
  <c r="Y6" i="8"/>
  <c r="Y10" i="8"/>
  <c r="Y14" i="8"/>
  <c r="Y18" i="8"/>
  <c r="Y22" i="8"/>
  <c r="Y26" i="8"/>
  <c r="Y30" i="8"/>
  <c r="Y34" i="8"/>
  <c r="Y38" i="8"/>
  <c r="Y42" i="8"/>
  <c r="Y46" i="8"/>
  <c r="Y50" i="8"/>
  <c r="Y54" i="8"/>
  <c r="Y58" i="8"/>
  <c r="Y62" i="8"/>
  <c r="Y66" i="8"/>
  <c r="Y70" i="8"/>
  <c r="Y3" i="8"/>
  <c r="Y8" i="8"/>
  <c r="Y25" i="8"/>
  <c r="Y35" i="8"/>
  <c r="Y40" i="8"/>
  <c r="Y57" i="8"/>
  <c r="Y67" i="8"/>
  <c r="Y72" i="8"/>
  <c r="Y76" i="8"/>
  <c r="Y81" i="8"/>
  <c r="Y85" i="8"/>
  <c r="Y91" i="8"/>
  <c r="Y20" i="8"/>
  <c r="Y37" i="8"/>
  <c r="Y47" i="8"/>
  <c r="Y52" i="8"/>
  <c r="Y69" i="8"/>
  <c r="Y80" i="8"/>
  <c r="Y90" i="8"/>
  <c r="Y5" i="8"/>
  <c r="Y15" i="8"/>
  <c r="Y29" i="8"/>
  <c r="Y23" i="8"/>
  <c r="Y21" i="8"/>
  <c r="Y17" i="8"/>
  <c r="Y13" i="8"/>
  <c r="K7" i="2"/>
  <c r="L7" i="2" s="1"/>
  <c r="W5" i="8"/>
  <c r="W9" i="8"/>
  <c r="W13" i="8"/>
  <c r="W17" i="8"/>
  <c r="W21" i="8"/>
  <c r="W25" i="8"/>
  <c r="W29" i="8"/>
  <c r="W33" i="8"/>
  <c r="W37" i="8"/>
  <c r="W41" i="8"/>
  <c r="W45" i="8"/>
  <c r="W49" i="8"/>
  <c r="W53" i="8"/>
  <c r="W57" i="8"/>
  <c r="W61" i="8"/>
  <c r="W65" i="8"/>
  <c r="W69" i="8"/>
  <c r="W22" i="8"/>
  <c r="W27" i="8"/>
  <c r="W32" i="8"/>
  <c r="W54" i="8"/>
  <c r="W59" i="8"/>
  <c r="W64" i="8"/>
  <c r="W75" i="8"/>
  <c r="W79" i="8"/>
  <c r="W84" i="8"/>
  <c r="W89" i="8"/>
  <c r="W97" i="8"/>
  <c r="W34" i="8"/>
  <c r="W39" i="8"/>
  <c r="W44" i="8"/>
  <c r="W66" i="8"/>
  <c r="W71" i="8"/>
  <c r="W88" i="8"/>
  <c r="W7" i="8"/>
  <c r="W12" i="8"/>
  <c r="Y96" i="8"/>
  <c r="W95" i="8"/>
  <c r="Y88" i="8"/>
  <c r="Y83" i="8"/>
  <c r="W70" i="8"/>
  <c r="W68" i="8"/>
  <c r="Y63" i="8"/>
  <c r="W60" i="8"/>
  <c r="W58" i="8"/>
  <c r="Y43" i="8"/>
  <c r="Y39" i="8"/>
  <c r="Y27" i="8"/>
  <c r="W19" i="8"/>
  <c r="W15" i="8"/>
  <c r="Y4" i="8"/>
  <c r="Y92" i="8"/>
  <c r="W91" i="8"/>
  <c r="U90" i="8"/>
  <c r="W85" i="8"/>
  <c r="W77" i="8"/>
  <c r="Y75" i="8"/>
  <c r="W72" i="8"/>
  <c r="Y65" i="8"/>
  <c r="Y51" i="8"/>
  <c r="Y41" i="8"/>
  <c r="W35" i="8"/>
  <c r="W23" i="8"/>
  <c r="AC2" i="8"/>
  <c r="Y97" i="8"/>
  <c r="W96" i="8"/>
  <c r="Y93" i="8"/>
  <c r="AC90" i="8"/>
  <c r="Y86" i="8"/>
  <c r="W83" i="8"/>
  <c r="AC82" i="8"/>
  <c r="W80" i="8"/>
  <c r="AC79" i="8"/>
  <c r="Y78" i="8"/>
  <c r="Y73" i="8"/>
  <c r="W63" i="8"/>
  <c r="AC62" i="8"/>
  <c r="Y61" i="8"/>
  <c r="Y55" i="8"/>
  <c r="Y53" i="8"/>
  <c r="Y49" i="8"/>
  <c r="AC46" i="8"/>
  <c r="Y45" i="8"/>
  <c r="W43" i="8"/>
  <c r="AC42" i="8"/>
  <c r="Y32" i="8"/>
  <c r="Y24" i="8"/>
  <c r="Y16" i="8"/>
  <c r="Y12" i="8"/>
  <c r="AC7" i="8"/>
  <c r="W6" i="8"/>
  <c r="W4" i="8"/>
  <c r="K36" i="2"/>
  <c r="L36" i="2" s="1"/>
  <c r="P3" i="5"/>
  <c r="AE92" i="8"/>
  <c r="W92" i="8"/>
  <c r="U91" i="8"/>
  <c r="Y89" i="8"/>
  <c r="U88" i="8"/>
  <c r="AE83" i="8"/>
  <c r="AE80" i="8"/>
  <c r="Y71" i="8"/>
  <c r="AC66" i="8"/>
  <c r="Y59" i="8"/>
  <c r="W51" i="8"/>
  <c r="AC50" i="8"/>
  <c r="W47" i="8"/>
  <c r="Y36" i="8"/>
  <c r="AE35" i="8"/>
  <c r="AC33" i="8"/>
  <c r="AC29" i="8"/>
  <c r="Y28" i="8"/>
  <c r="AE27" i="8"/>
  <c r="AC19" i="8"/>
  <c r="AC17" i="8"/>
  <c r="AC13" i="8"/>
  <c r="W8" i="8"/>
  <c r="K10" i="2"/>
  <c r="L10" i="2" s="1"/>
  <c r="K11" i="2"/>
  <c r="L11" i="2" s="1"/>
  <c r="AE5" i="8"/>
  <c r="AE9" i="8"/>
  <c r="AE13" i="8"/>
  <c r="AE17" i="8"/>
  <c r="AE21" i="8"/>
  <c r="AE25" i="8"/>
  <c r="AE29" i="8"/>
  <c r="AE33" i="8"/>
  <c r="AE37" i="8"/>
  <c r="AE41" i="8"/>
  <c r="AE45" i="8"/>
  <c r="AE49" i="8"/>
  <c r="AE53" i="8"/>
  <c r="AE57" i="8"/>
  <c r="AE61" i="8"/>
  <c r="AE65" i="8"/>
  <c r="AE69" i="8"/>
  <c r="AE7" i="8"/>
  <c r="AE12" i="8"/>
  <c r="AE34" i="8"/>
  <c r="AE39" i="8"/>
  <c r="AE44" i="8"/>
  <c r="AE66" i="8"/>
  <c r="AE71" i="8"/>
  <c r="AE75" i="8"/>
  <c r="AE79" i="8"/>
  <c r="AE84" i="8"/>
  <c r="AE89" i="8"/>
  <c r="AE97" i="8"/>
  <c r="AE24" i="8"/>
  <c r="AE46" i="8"/>
  <c r="AE51" i="8"/>
  <c r="AE56" i="8"/>
  <c r="AE88" i="8"/>
  <c r="AE14" i="8"/>
  <c r="AE19" i="8"/>
  <c r="W2" i="8"/>
  <c r="AE2" i="8"/>
  <c r="AC96" i="8"/>
  <c r="U96" i="8"/>
  <c r="Y94" i="8"/>
  <c r="W93" i="8"/>
  <c r="AC91" i="8"/>
  <c r="AC88" i="8"/>
  <c r="W86" i="8"/>
  <c r="AC85" i="8"/>
  <c r="Y84" i="8"/>
  <c r="W81" i="8"/>
  <c r="U80" i="8"/>
  <c r="W78" i="8"/>
  <c r="AC77" i="8"/>
  <c r="W73" i="8"/>
  <c r="AC72" i="8"/>
  <c r="W67" i="8"/>
  <c r="AE63" i="8"/>
  <c r="W55" i="8"/>
  <c r="AC54" i="8"/>
  <c r="AE43" i="8"/>
  <c r="AC37" i="8"/>
  <c r="W30" i="8"/>
  <c r="AC25" i="8"/>
  <c r="W24" i="8"/>
  <c r="AC23" i="8"/>
  <c r="W20" i="8"/>
  <c r="W18" i="8"/>
  <c r="W16" i="8"/>
  <c r="AC15" i="8"/>
  <c r="W14" i="8"/>
  <c r="W10" i="8"/>
  <c r="AE6" i="8"/>
  <c r="K9" i="2"/>
  <c r="L9" i="2" s="1"/>
  <c r="AA7" i="8"/>
  <c r="AA11" i="8"/>
  <c r="AA15" i="8"/>
  <c r="AA19" i="8"/>
  <c r="AA23" i="8"/>
  <c r="AA27" i="8"/>
  <c r="AA31" i="8"/>
  <c r="AA35" i="8"/>
  <c r="AA39" i="8"/>
  <c r="AA43" i="8"/>
  <c r="AA47" i="8"/>
  <c r="AA51" i="8"/>
  <c r="AA55" i="8"/>
  <c r="AA59" i="8"/>
  <c r="AA63" i="8"/>
  <c r="AA67" i="8"/>
  <c r="AA71" i="8"/>
  <c r="AA93" i="8"/>
  <c r="AA86" i="8"/>
  <c r="AA82" i="8"/>
  <c r="AA77" i="8"/>
  <c r="AA73" i="8"/>
  <c r="AA65" i="8"/>
  <c r="AA50" i="8"/>
  <c r="AA48" i="8"/>
  <c r="AA33" i="8"/>
  <c r="AA18" i="8"/>
  <c r="AA16" i="8"/>
  <c r="O44" i="8"/>
  <c r="O52" i="8"/>
  <c r="O60" i="8"/>
  <c r="O68" i="8"/>
  <c r="O76" i="8"/>
  <c r="O84" i="8"/>
  <c r="O92" i="8"/>
  <c r="O4" i="8"/>
  <c r="O12" i="8"/>
  <c r="O20" i="8"/>
  <c r="O28" i="8"/>
  <c r="O36" i="8"/>
  <c r="O88" i="8"/>
  <c r="O87" i="8"/>
  <c r="M87" i="8"/>
  <c r="M36" i="8"/>
  <c r="K3" i="2"/>
  <c r="L3" i="2" s="1"/>
  <c r="K4" i="2"/>
  <c r="L4" i="2" s="1"/>
  <c r="U2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O35" i="8"/>
  <c r="O26" i="8"/>
  <c r="O17" i="8"/>
  <c r="O8" i="8"/>
  <c r="O95" i="8"/>
  <c r="O86" i="8"/>
  <c r="O77" i="8"/>
  <c r="O67" i="8"/>
  <c r="O58" i="8"/>
  <c r="O49" i="8"/>
  <c r="M95" i="8"/>
  <c r="M84" i="8"/>
  <c r="M81" i="8"/>
  <c r="M70" i="8"/>
  <c r="M56" i="8"/>
  <c r="M50" i="8"/>
  <c r="M30" i="8"/>
  <c r="M24" i="8"/>
  <c r="M18" i="8"/>
  <c r="U82" i="8"/>
  <c r="O38" i="8"/>
  <c r="O79" i="8"/>
  <c r="O78" i="8"/>
  <c r="M73" i="8"/>
  <c r="M39" i="8"/>
  <c r="O34" i="8"/>
  <c r="O25" i="8"/>
  <c r="O16" i="8"/>
  <c r="O7" i="8"/>
  <c r="O94" i="8"/>
  <c r="O85" i="8"/>
  <c r="O75" i="8"/>
  <c r="O66" i="8"/>
  <c r="O57" i="8"/>
  <c r="O48" i="8"/>
  <c r="M92" i="8"/>
  <c r="M89" i="8"/>
  <c r="M78" i="8"/>
  <c r="M64" i="8"/>
  <c r="M47" i="8"/>
  <c r="M44" i="8"/>
  <c r="M41" i="8"/>
  <c r="M15" i="8"/>
  <c r="M12" i="8"/>
  <c r="U83" i="8"/>
  <c r="U75" i="8"/>
  <c r="U3" i="8"/>
  <c r="O19" i="8"/>
  <c r="O61" i="8"/>
  <c r="M5" i="8"/>
  <c r="M13" i="8"/>
  <c r="M21" i="8"/>
  <c r="M29" i="8"/>
  <c r="M37" i="8"/>
  <c r="M45" i="8"/>
  <c r="M53" i="8"/>
  <c r="M3" i="8"/>
  <c r="M11" i="8"/>
  <c r="M19" i="8"/>
  <c r="M27" i="8"/>
  <c r="M35" i="8"/>
  <c r="M43" i="8"/>
  <c r="M51" i="8"/>
  <c r="M59" i="8"/>
  <c r="M67" i="8"/>
  <c r="M75" i="8"/>
  <c r="M83" i="8"/>
  <c r="M91" i="8"/>
  <c r="O37" i="8"/>
  <c r="O96" i="8"/>
  <c r="O59" i="8"/>
  <c r="M62" i="8"/>
  <c r="M4" i="8"/>
  <c r="O42" i="8"/>
  <c r="O33" i="8"/>
  <c r="O24" i="8"/>
  <c r="O15" i="8"/>
  <c r="O6" i="8"/>
  <c r="O93" i="8"/>
  <c r="O83" i="8"/>
  <c r="O74" i="8"/>
  <c r="O65" i="8"/>
  <c r="O56" i="8"/>
  <c r="O47" i="8"/>
  <c r="M86" i="8"/>
  <c r="M72" i="8"/>
  <c r="M61" i="8"/>
  <c r="M58" i="8"/>
  <c r="M38" i="8"/>
  <c r="M32" i="8"/>
  <c r="M26" i="8"/>
  <c r="M6" i="8"/>
  <c r="U84" i="8"/>
  <c r="U76" i="8"/>
  <c r="L3" i="5"/>
  <c r="O10" i="8"/>
  <c r="O51" i="8"/>
  <c r="O9" i="8"/>
  <c r="M97" i="8"/>
  <c r="M76" i="8"/>
  <c r="M7" i="8"/>
  <c r="O41" i="8"/>
  <c r="O32" i="8"/>
  <c r="O23" i="8"/>
  <c r="O14" i="8"/>
  <c r="O5" i="8"/>
  <c r="O91" i="8"/>
  <c r="O82" i="8"/>
  <c r="O73" i="8"/>
  <c r="O64" i="8"/>
  <c r="O55" i="8"/>
  <c r="O46" i="8"/>
  <c r="M94" i="8"/>
  <c r="M80" i="8"/>
  <c r="M69" i="8"/>
  <c r="M66" i="8"/>
  <c r="M55" i="8"/>
  <c r="M52" i="8"/>
  <c r="M49" i="8"/>
  <c r="M23" i="8"/>
  <c r="M20" i="8"/>
  <c r="M17" i="8"/>
  <c r="Q97" i="8"/>
  <c r="Q96" i="8"/>
  <c r="Q95" i="8"/>
  <c r="Q94" i="8"/>
  <c r="Q93" i="8"/>
  <c r="Q92" i="8"/>
  <c r="Q91" i="8"/>
  <c r="U85" i="8"/>
  <c r="U77" i="8"/>
  <c r="O97" i="8"/>
  <c r="O27" i="8"/>
  <c r="O69" i="8"/>
  <c r="O40" i="8"/>
  <c r="O31" i="8"/>
  <c r="O22" i="8"/>
  <c r="O13" i="8"/>
  <c r="O3" i="8"/>
  <c r="O90" i="8"/>
  <c r="O81" i="8"/>
  <c r="O72" i="8"/>
  <c r="O63" i="8"/>
  <c r="O54" i="8"/>
  <c r="O45" i="8"/>
  <c r="M88" i="8"/>
  <c r="M77" i="8"/>
  <c r="M74" i="8"/>
  <c r="M63" i="8"/>
  <c r="M46" i="8"/>
  <c r="M40" i="8"/>
  <c r="M34" i="8"/>
  <c r="M14" i="8"/>
  <c r="M8" i="8"/>
  <c r="M2" i="8"/>
  <c r="U86" i="8"/>
  <c r="U78" i="8"/>
  <c r="O29" i="8"/>
  <c r="O70" i="8"/>
  <c r="O18" i="8"/>
  <c r="O50" i="8"/>
  <c r="M33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4" i="8"/>
  <c r="Q3" i="8"/>
  <c r="H3" i="5"/>
  <c r="I3" i="5" s="1"/>
  <c r="O39" i="8"/>
  <c r="O30" i="8"/>
  <c r="O21" i="8"/>
  <c r="O11" i="8"/>
  <c r="O2" i="8"/>
  <c r="O89" i="8"/>
  <c r="O80" i="8"/>
  <c r="O71" i="8"/>
  <c r="O62" i="8"/>
  <c r="O53" i="8"/>
  <c r="O43" i="8"/>
  <c r="M96" i="8"/>
  <c r="M85" i="8"/>
  <c r="M82" i="8"/>
  <c r="M71" i="8"/>
  <c r="M60" i="8"/>
  <c r="M57" i="8"/>
  <c r="M31" i="8"/>
  <c r="M28" i="8"/>
  <c r="M25" i="8"/>
  <c r="U87" i="8"/>
  <c r="U79" i="8"/>
  <c r="S4" i="8"/>
  <c r="H10" i="5"/>
  <c r="H13" i="5"/>
  <c r="C45" i="2"/>
  <c r="C46" i="2"/>
  <c r="C47" i="2"/>
  <c r="C48" i="2"/>
  <c r="C49" i="2"/>
  <c r="C50" i="2"/>
  <c r="C51" i="2"/>
  <c r="C44" i="2"/>
  <c r="C37" i="2"/>
  <c r="C38" i="2"/>
  <c r="C39" i="2"/>
  <c r="C40" i="2"/>
  <c r="C41" i="2"/>
  <c r="C42" i="2"/>
  <c r="C43" i="2"/>
  <c r="C22" i="2"/>
  <c r="C21" i="2"/>
  <c r="C20" i="2"/>
  <c r="C19" i="2"/>
  <c r="C18" i="2"/>
  <c r="C17" i="2"/>
  <c r="C16" i="2"/>
  <c r="C15" i="2"/>
  <c r="C14" i="2"/>
  <c r="C13" i="2"/>
  <c r="C12" i="2"/>
  <c r="AO39" i="8" l="1"/>
  <c r="AO47" i="8"/>
  <c r="AO40" i="8"/>
  <c r="AO48" i="8"/>
  <c r="AO41" i="8"/>
  <c r="AO49" i="8"/>
  <c r="AO42" i="8"/>
  <c r="AO38" i="8"/>
  <c r="AO43" i="8"/>
  <c r="AO44" i="8"/>
  <c r="AO45" i="8"/>
  <c r="AO46" i="8"/>
  <c r="AL31" i="8"/>
  <c r="AL32" i="8"/>
  <c r="AL33" i="8"/>
  <c r="AL34" i="8"/>
  <c r="AL27" i="8"/>
  <c r="AL35" i="8"/>
  <c r="AL28" i="8"/>
  <c r="AL36" i="8"/>
  <c r="AL29" i="8"/>
  <c r="AL37" i="8"/>
  <c r="AL30" i="8"/>
  <c r="AL26" i="8"/>
  <c r="AO31" i="8"/>
  <c r="AO32" i="8"/>
  <c r="AO33" i="8"/>
  <c r="AO34" i="8"/>
  <c r="AO27" i="8"/>
  <c r="AO35" i="8"/>
  <c r="AO28" i="8"/>
  <c r="AO36" i="8"/>
  <c r="AO29" i="8"/>
  <c r="AO37" i="8"/>
  <c r="AO30" i="8"/>
  <c r="AO26" i="8"/>
  <c r="AL16" i="8"/>
  <c r="AL24" i="8"/>
  <c r="AL17" i="8"/>
  <c r="AL25" i="8"/>
  <c r="AL18" i="8"/>
  <c r="AL14" i="8"/>
  <c r="AL19" i="8"/>
  <c r="AL20" i="8"/>
  <c r="AL21" i="8"/>
  <c r="AL22" i="8"/>
  <c r="AL15" i="8"/>
  <c r="AL23" i="8"/>
  <c r="AO15" i="8"/>
  <c r="AO23" i="8"/>
  <c r="AO16" i="8"/>
  <c r="AO24" i="8"/>
  <c r="AO17" i="8"/>
  <c r="AO25" i="8"/>
  <c r="AO18" i="8"/>
  <c r="AO14" i="8"/>
  <c r="AO19" i="8"/>
  <c r="AO20" i="8"/>
  <c r="AO21" i="8"/>
  <c r="AO22" i="8"/>
  <c r="AO7" i="8"/>
  <c r="AO8" i="8"/>
  <c r="AO9" i="8"/>
  <c r="AO10" i="8"/>
  <c r="AO3" i="8"/>
  <c r="AO11" i="8"/>
  <c r="AO4" i="8"/>
  <c r="AO12" i="8"/>
  <c r="AO5" i="8"/>
  <c r="AO13" i="8"/>
  <c r="AO6" i="8"/>
  <c r="AO2" i="8"/>
  <c r="AL39" i="8"/>
  <c r="AL47" i="8"/>
  <c r="AL40" i="8"/>
  <c r="AL48" i="8"/>
  <c r="AL41" i="8"/>
  <c r="AL49" i="8"/>
  <c r="AL42" i="8"/>
  <c r="AL38" i="8"/>
  <c r="AL43" i="8"/>
  <c r="AL44" i="8"/>
  <c r="AL45" i="8"/>
  <c r="AL46" i="8"/>
  <c r="AL55" i="8"/>
  <c r="AL56" i="8"/>
  <c r="AL57" i="8"/>
  <c r="AL58" i="8"/>
  <c r="AL51" i="8"/>
  <c r="AL59" i="8"/>
  <c r="AL52" i="8"/>
  <c r="AL60" i="8"/>
  <c r="AL53" i="8"/>
  <c r="AL61" i="8"/>
  <c r="AL54" i="8"/>
  <c r="AL50" i="8"/>
  <c r="AL79" i="8"/>
  <c r="AL80" i="8"/>
  <c r="AL81" i="8"/>
  <c r="AL82" i="8"/>
  <c r="AL75" i="8"/>
  <c r="AL83" i="8"/>
  <c r="AL76" i="8"/>
  <c r="AL84" i="8"/>
  <c r="AL77" i="8"/>
  <c r="AL85" i="8"/>
  <c r="AL78" i="8"/>
  <c r="AL74" i="8"/>
  <c r="AO79" i="8"/>
  <c r="AO80" i="8"/>
  <c r="AO81" i="8"/>
  <c r="AO82" i="8"/>
  <c r="AO75" i="8"/>
  <c r="AO83" i="8"/>
  <c r="AO76" i="8"/>
  <c r="AO84" i="8"/>
  <c r="AO77" i="8"/>
  <c r="AO85" i="8"/>
  <c r="AO78" i="8"/>
  <c r="AO74" i="8"/>
  <c r="AO55" i="8"/>
  <c r="AO56" i="8"/>
  <c r="AO57" i="8"/>
  <c r="AO58" i="8"/>
  <c r="AO51" i="8"/>
  <c r="AO59" i="8"/>
  <c r="AO52" i="8"/>
  <c r="AO60" i="8"/>
  <c r="AO53" i="8"/>
  <c r="AO61" i="8"/>
  <c r="AO54" i="8"/>
  <c r="AO50" i="8"/>
  <c r="AL87" i="8"/>
  <c r="AL95" i="8"/>
  <c r="AL88" i="8"/>
  <c r="AL96" i="8"/>
  <c r="AL89" i="8"/>
  <c r="AL97" i="8"/>
  <c r="AL90" i="8"/>
  <c r="AL86" i="8"/>
  <c r="AL91" i="8"/>
  <c r="AL92" i="8"/>
  <c r="AL93" i="8"/>
  <c r="AL94" i="8"/>
  <c r="AO87" i="8"/>
  <c r="AO95" i="8"/>
  <c r="AO88" i="8"/>
  <c r="AO96" i="8"/>
  <c r="AO89" i="8"/>
  <c r="AO97" i="8"/>
  <c r="AO90" i="8"/>
  <c r="AO86" i="8"/>
  <c r="AO91" i="8"/>
  <c r="AO92" i="8"/>
  <c r="AO93" i="8"/>
  <c r="AO94" i="8"/>
  <c r="AL63" i="8"/>
  <c r="AL71" i="8"/>
  <c r="AL64" i="8"/>
  <c r="AL72" i="8"/>
  <c r="AL65" i="8"/>
  <c r="AL73" i="8"/>
  <c r="AL66" i="8"/>
  <c r="AL62" i="8"/>
  <c r="AL67" i="8"/>
  <c r="AL68" i="8"/>
  <c r="AL69" i="8"/>
  <c r="AL70" i="8"/>
  <c r="AO63" i="8"/>
  <c r="AO71" i="8"/>
  <c r="AO64" i="8"/>
  <c r="AO72" i="8"/>
  <c r="AO65" i="8"/>
  <c r="AO73" i="8"/>
  <c r="AO66" i="8"/>
  <c r="AO62" i="8"/>
  <c r="AO67" i="8"/>
  <c r="AO68" i="8"/>
  <c r="AO69" i="8"/>
  <c r="AO70" i="8"/>
  <c r="AF87" i="8"/>
  <c r="AF63" i="8"/>
  <c r="AF39" i="8"/>
  <c r="AF15" i="8"/>
  <c r="AF75" i="8"/>
  <c r="AF51" i="8"/>
  <c r="AF27" i="8"/>
  <c r="AF3" i="8"/>
  <c r="AF94" i="8"/>
  <c r="AF70" i="8"/>
  <c r="AF46" i="8"/>
  <c r="AF22" i="8"/>
  <c r="AF82" i="8"/>
  <c r="AF58" i="8"/>
  <c r="AF34" i="8"/>
  <c r="AF10" i="8"/>
  <c r="AF95" i="8"/>
  <c r="AF71" i="8"/>
  <c r="AF47" i="8"/>
  <c r="AF23" i="8"/>
  <c r="AF83" i="8"/>
  <c r="AF59" i="8"/>
  <c r="AF35" i="8"/>
  <c r="AF11" i="8"/>
  <c r="AF89" i="8"/>
  <c r="AF65" i="8"/>
  <c r="AF41" i="8"/>
  <c r="AF17" i="8"/>
  <c r="AF77" i="8"/>
  <c r="AF53" i="8"/>
  <c r="AF29" i="8"/>
  <c r="AF5" i="8"/>
  <c r="AF86" i="8"/>
  <c r="AF62" i="8"/>
  <c r="AF38" i="8"/>
  <c r="AF14" i="8"/>
  <c r="AF74" i="8"/>
  <c r="AF50" i="8"/>
  <c r="AF26" i="8"/>
  <c r="AF2" i="8"/>
  <c r="AF96" i="8"/>
  <c r="AF72" i="8"/>
  <c r="AF48" i="8"/>
  <c r="AF24" i="8"/>
  <c r="AF84" i="8"/>
  <c r="AF60" i="8"/>
  <c r="AF36" i="8"/>
  <c r="AF12" i="8"/>
  <c r="AF78" i="8"/>
  <c r="AF54" i="8"/>
  <c r="AF30" i="8"/>
  <c r="AF6" i="8"/>
  <c r="AF90" i="8"/>
  <c r="AF66" i="8"/>
  <c r="AF42" i="8"/>
  <c r="AF18" i="8"/>
  <c r="AF88" i="8"/>
  <c r="AF64" i="8"/>
  <c r="AF40" i="8"/>
  <c r="AF16" i="8"/>
  <c r="AF76" i="8"/>
  <c r="AF52" i="8"/>
  <c r="AF28" i="8"/>
  <c r="AF4" i="8"/>
  <c r="AF79" i="8"/>
  <c r="AF55" i="8"/>
  <c r="AF31" i="8"/>
  <c r="AF7" i="8"/>
  <c r="AF91" i="8"/>
  <c r="AF67" i="8"/>
  <c r="AF43" i="8"/>
  <c r="AF19" i="8"/>
  <c r="AF80" i="8"/>
  <c r="AF56" i="8"/>
  <c r="AF32" i="8"/>
  <c r="AF8" i="8"/>
  <c r="AF92" i="8"/>
  <c r="AF68" i="8"/>
  <c r="AF44" i="8"/>
  <c r="AF20" i="8"/>
  <c r="AF81" i="8"/>
  <c r="AF57" i="8"/>
  <c r="AF33" i="8"/>
  <c r="AF9" i="8"/>
  <c r="AF93" i="8"/>
  <c r="AF69" i="8"/>
  <c r="AF45" i="8"/>
  <c r="AF21" i="8"/>
</calcChain>
</file>

<file path=xl/sharedStrings.xml><?xml version="1.0" encoding="utf-8"?>
<sst xmlns="http://schemas.openxmlformats.org/spreadsheetml/2006/main" count="647" uniqueCount="184">
  <si>
    <t>v3 (below)</t>
  </si>
  <si>
    <t>Variable</t>
  </si>
  <si>
    <t>v1</t>
  </si>
  <si>
    <t>v2</t>
  </si>
  <si>
    <t>v3</t>
  </si>
  <si>
    <t>Name</t>
  </si>
  <si>
    <t>FW (g/mol)</t>
  </si>
  <si>
    <t>v1(right)</t>
  </si>
  <si>
    <t># of wells</t>
  </si>
  <si>
    <t>CAS</t>
  </si>
  <si>
    <t>substrates</t>
  </si>
  <si>
    <t>Solvent</t>
  </si>
  <si>
    <t>Density (g/mL)</t>
  </si>
  <si>
    <t>Loading per well (µmol)</t>
  </si>
  <si>
    <t>-</t>
  </si>
  <si>
    <t>Loading per well (µL)</t>
  </si>
  <si>
    <t>First component</t>
  </si>
  <si>
    <t>Second Component</t>
  </si>
  <si>
    <t>Third Component</t>
  </si>
  <si>
    <t>Fourth Component</t>
  </si>
  <si>
    <t>Code</t>
  </si>
  <si>
    <t>Amount for Stock (mg)</t>
  </si>
  <si>
    <t>compound_no</t>
  </si>
  <si>
    <t>well_no</t>
  </si>
  <si>
    <t>one_areacount</t>
  </si>
  <si>
    <t>two_areacount</t>
  </si>
  <si>
    <t>three_areacount</t>
  </si>
  <si>
    <t>four_areacount</t>
  </si>
  <si>
    <t>five_areacount</t>
  </si>
  <si>
    <t>six_areacount</t>
  </si>
  <si>
    <t>A</t>
  </si>
  <si>
    <t>B</t>
  </si>
  <si>
    <t>C</t>
  </si>
  <si>
    <t>D</t>
  </si>
  <si>
    <t>E</t>
  </si>
  <si>
    <t>F</t>
  </si>
  <si>
    <t>G</t>
  </si>
  <si>
    <t>H</t>
  </si>
  <si>
    <t>run_no</t>
  </si>
  <si>
    <t>compound_label</t>
  </si>
  <si>
    <t>Tracked Compounds</t>
  </si>
  <si>
    <t>Number</t>
  </si>
  <si>
    <t>Volume Calculator</t>
  </si>
  <si>
    <t>Yield (mg)</t>
  </si>
  <si>
    <t>instrument</t>
  </si>
  <si>
    <t>seven_areacount</t>
  </si>
  <si>
    <t>col_no</t>
  </si>
  <si>
    <t>row_no</t>
  </si>
  <si>
    <t>Slope</t>
  </si>
  <si>
    <t>note</t>
  </si>
  <si>
    <t>retention time</t>
  </si>
  <si>
    <t>well</t>
  </si>
  <si>
    <t>standard</t>
  </si>
  <si>
    <t>solvent</t>
  </si>
  <si>
    <t>v4</t>
  </si>
  <si>
    <t>Desired stock</t>
  </si>
  <si>
    <t xml:space="preserve">Volume for </t>
  </si>
  <si>
    <t>Stock (mL)</t>
  </si>
  <si>
    <t>Correction factor</t>
  </si>
  <si>
    <t>Loading (mol%)</t>
  </si>
  <si>
    <t>Loading per well (mg)</t>
  </si>
  <si>
    <t>Amount for Stock (µL)</t>
  </si>
  <si>
    <t>s2_loading</t>
  </si>
  <si>
    <t>s3_loading</t>
  </si>
  <si>
    <t>s4_loading</t>
  </si>
  <si>
    <t>s5_loading</t>
  </si>
  <si>
    <t>s6_loading</t>
  </si>
  <si>
    <t>s7_loading</t>
  </si>
  <si>
    <t>s8_loading</t>
  </si>
  <si>
    <t>s9_loading</t>
  </si>
  <si>
    <t>s10_loading</t>
  </si>
  <si>
    <t>General Notes</t>
  </si>
  <si>
    <t>Solution</t>
  </si>
  <si>
    <t xml:space="preserve"> loading (µL)</t>
  </si>
  <si>
    <t>v4 (below)</t>
  </si>
  <si>
    <t>v2 (right)</t>
  </si>
  <si>
    <t>Inert atmosphere:</t>
  </si>
  <si>
    <t>Time (h):</t>
  </si>
  <si>
    <t>temperature</t>
  </si>
  <si>
    <t>Temperature (ºC):</t>
  </si>
  <si>
    <t>time</t>
  </si>
  <si>
    <t>inert_atmos</t>
  </si>
  <si>
    <t>one_yield</t>
  </si>
  <si>
    <t>two_yield</t>
  </si>
  <si>
    <t>three_yield</t>
  </si>
  <si>
    <t>four_yield</t>
  </si>
  <si>
    <t>five_yield</t>
  </si>
  <si>
    <t>six_yield</t>
  </si>
  <si>
    <t>seven_yield</t>
  </si>
  <si>
    <t>Stock volume (µL)</t>
  </si>
  <si>
    <t>Solution #</t>
  </si>
  <si>
    <t>v1_loading</t>
  </si>
  <si>
    <t>v2_loading</t>
  </si>
  <si>
    <t>v3_loading</t>
  </si>
  <si>
    <t>v4_row</t>
  </si>
  <si>
    <t>v4_loading</t>
  </si>
  <si>
    <t>v3_row</t>
  </si>
  <si>
    <t>v2_column</t>
  </si>
  <si>
    <t>v1_column</t>
  </si>
  <si>
    <t>Solvent (leave blank if variable):</t>
  </si>
  <si>
    <t>Reaction volume (µL):</t>
  </si>
  <si>
    <t>Final reaction volume after dilution (µL):</t>
  </si>
  <si>
    <t>First aliquot volume (µL):</t>
  </si>
  <si>
    <t>First total analytical volume (µL):</t>
  </si>
  <si>
    <t>Second aliquot volume (µL):</t>
  </si>
  <si>
    <t>Second total analytical volume (µL):</t>
  </si>
  <si>
    <t>Injection volume for calibration (µL):</t>
  </si>
  <si>
    <t>Injection volume for data collection (µL):</t>
  </si>
  <si>
    <t>Conversion factor (yield to final conc.):</t>
  </si>
  <si>
    <t>Expected conc. (mg/mL)</t>
  </si>
  <si>
    <t>Internal standard (TRUE/FALSE):</t>
  </si>
  <si>
    <t>Concentration (M)</t>
  </si>
  <si>
    <t>row_lett</t>
  </si>
  <si>
    <t>(preplated ligands below)</t>
  </si>
  <si>
    <t>&amp; products</t>
  </si>
  <si>
    <t>R-squared</t>
  </si>
  <si>
    <t>Desired concentration (M)</t>
  </si>
  <si>
    <t>Recommended volume per stock solution (µL)</t>
  </si>
  <si>
    <t>Total volume (µL)</t>
  </si>
  <si>
    <r>
      <t xml:space="preserve">Maximum number of stock solutions </t>
    </r>
    <r>
      <rPr>
        <i/>
        <sz val="12"/>
        <color theme="1"/>
        <rFont val="Helvetica"/>
        <family val="2"/>
      </rPr>
      <t>per well</t>
    </r>
  </si>
  <si>
    <t>Notebook Number:</t>
  </si>
  <si>
    <t>Row Label</t>
  </si>
  <si>
    <t>Yield (µmol)</t>
  </si>
  <si>
    <t>ac-compound_ac-std</t>
  </si>
  <si>
    <t>molar-ratio</t>
  </si>
  <si>
    <t>ac-compound</t>
  </si>
  <si>
    <t>ac-std</t>
  </si>
  <si>
    <t>Analysis method:</t>
  </si>
  <si>
    <t>Stir rate:</t>
  </si>
  <si>
    <t>notebook_no</t>
  </si>
  <si>
    <t>analysis_method</t>
  </si>
  <si>
    <t>stir_rate</t>
  </si>
  <si>
    <t>Reaction Scale (µmol):</t>
  </si>
  <si>
    <t>SMILES</t>
  </si>
  <si>
    <t>LC-MS</t>
  </si>
  <si>
    <t>substrate_1_smiles</t>
  </si>
  <si>
    <t>s1_loading_umol</t>
  </si>
  <si>
    <t>substrate_2_smiles</t>
  </si>
  <si>
    <t>substrate_3_smiles</t>
  </si>
  <si>
    <t>substrate_4_smiles</t>
  </si>
  <si>
    <t>substrate_5_smiles</t>
  </si>
  <si>
    <t>substrate_6_smiles</t>
  </si>
  <si>
    <t>substrate_7_smiles</t>
  </si>
  <si>
    <t>substrate_8_smiles</t>
  </si>
  <si>
    <t>substrate_9_smiles</t>
  </si>
  <si>
    <t>substrate_10_smiles</t>
  </si>
  <si>
    <t>v1_smiles</t>
  </si>
  <si>
    <t>v2_smiles</t>
  </si>
  <si>
    <t>v3_smiles</t>
  </si>
  <si>
    <t>v4_smiles</t>
  </si>
  <si>
    <t>product_1_smiles</t>
  </si>
  <si>
    <t>product_1_yield</t>
  </si>
  <si>
    <t>product_1_name</t>
  </si>
  <si>
    <t>product_1_areacount</t>
  </si>
  <si>
    <t>product_2_name</t>
  </si>
  <si>
    <t>product_2_smiles</t>
  </si>
  <si>
    <t>product_2_areacount</t>
  </si>
  <si>
    <t>product_2_yield</t>
  </si>
  <si>
    <t>product_3_name</t>
  </si>
  <si>
    <t>product_3_smiles</t>
  </si>
  <si>
    <t>product_3_areacount</t>
  </si>
  <si>
    <t>product_3_yield</t>
  </si>
  <si>
    <t>product_4_name</t>
  </si>
  <si>
    <t>product_4_smiles</t>
  </si>
  <si>
    <t>product_4_areacount</t>
  </si>
  <si>
    <t>product_4_yield</t>
  </si>
  <si>
    <t>product_5_name</t>
  </si>
  <si>
    <t>product_5_smiles</t>
  </si>
  <si>
    <t>product_5_areacount</t>
  </si>
  <si>
    <t>product_5_yield</t>
  </si>
  <si>
    <t>is_smiles</t>
  </si>
  <si>
    <t>is_loading</t>
  </si>
  <si>
    <t>is_areacount</t>
  </si>
  <si>
    <t>product_6_name</t>
  </si>
  <si>
    <t>product_6_smiles</t>
  </si>
  <si>
    <t>product_6_areacount</t>
  </si>
  <si>
    <t>product_6_yield</t>
  </si>
  <si>
    <t>product_7_name</t>
  </si>
  <si>
    <t>product_7_smiles</t>
  </si>
  <si>
    <t>product_7_areacount</t>
  </si>
  <si>
    <t>product_7_yield</t>
  </si>
  <si>
    <t>ee</t>
  </si>
  <si>
    <t>ee_smiles</t>
  </si>
  <si>
    <t>ee_id_no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</si>
</sst>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>
    <font>
      <sz val="12"/>
      <color theme="1"/>
      <name val="Calibri"/>
      <family val="2"/>
      <scheme val="minor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  <font>
      <b/>
      <sz val="12"/>
      <color theme="1"/>
      <name val="Calibri"/>
      <family val="2"/>
      <scheme val="minor"/>
    </font>
    <font>
      <sz val="12"/>
      <color rgb="FF000000"/>
      <name val="Helvetica"/>
      <family val="2"/>
    </font>
    <font>
      <sz val="10"/>
      <color rgb="FF000000"/>
      <name val="Arial"/>
      <family val="2"/>
    </font>
    <font>
      <b/>
      <sz val="12"/>
      <color rgb="FFFF0000"/>
      <name val="Helvetica"/>
      <family val="2"/>
    </font>
    <font>
      <u/>
      <sz val="12"/>
      <color theme="1"/>
      <name val="Helvetica"/>
      <family val="2"/>
    </font>
    <font>
      <i/>
      <sz val="12"/>
      <color theme="1"/>
      <name val="Helvetica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DAD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0E3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1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medium">
        <color theme="1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theme="1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medium">
        <color theme="1"/>
      </right>
      <top style="thin">
        <color theme="6"/>
      </top>
      <bottom style="medium">
        <color theme="1"/>
      </bottom>
      <diagonal/>
    </border>
    <border>
      <left style="thin">
        <color theme="6"/>
      </left>
      <right style="medium">
        <color theme="1"/>
      </right>
      <top/>
      <bottom style="thin">
        <color theme="6"/>
      </bottom>
      <diagonal/>
    </border>
    <border>
      <left style="medium">
        <color theme="1"/>
      </left>
      <right/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theme="1"/>
      </left>
      <right/>
      <top style="thin">
        <color theme="6"/>
      </top>
      <bottom style="medium">
        <color theme="1"/>
      </bottom>
      <diagonal/>
    </border>
    <border>
      <left style="medium">
        <color theme="1"/>
      </left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dotted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dotted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theme="1"/>
      </right>
      <top style="thin">
        <color indexed="64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theme="6"/>
      </top>
      <bottom style="thin">
        <color theme="6"/>
      </bottom>
      <diagonal/>
    </border>
    <border>
      <left/>
      <right style="medium">
        <color theme="1"/>
      </right>
      <top style="thin">
        <color theme="6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6"/>
      </bottom>
      <diagonal/>
    </border>
    <border>
      <left style="thin">
        <color theme="6"/>
      </left>
      <right style="thin">
        <color theme="2" tint="-9.9978637043366805E-2"/>
      </right>
      <top style="thin">
        <color theme="6"/>
      </top>
      <bottom style="medium">
        <color theme="1"/>
      </bottom>
      <diagonal/>
    </border>
    <border>
      <left style="thin">
        <color theme="6"/>
      </left>
      <right style="thin">
        <color theme="2" tint="-9.9978637043366805E-2"/>
      </right>
      <top/>
      <bottom style="thin">
        <color theme="6"/>
      </bottom>
      <diagonal/>
    </border>
    <border>
      <left style="thin">
        <color theme="6"/>
      </left>
      <right style="thin">
        <color theme="2" tint="-9.9978637043366805E-2"/>
      </right>
      <top style="thin">
        <color theme="6"/>
      </top>
      <bottom style="thin">
        <color theme="6"/>
      </bottom>
      <diagonal/>
    </border>
    <border>
      <left style="thin">
        <color theme="2" tint="-9.9978637043366805E-2"/>
      </left>
      <right style="medium">
        <color theme="1"/>
      </right>
      <top style="thin">
        <color theme="1"/>
      </top>
      <bottom style="thin">
        <color theme="6"/>
      </bottom>
      <diagonal/>
    </border>
    <border>
      <left style="thin">
        <color theme="2" tint="-9.9978637043366805E-2"/>
      </left>
      <right style="medium">
        <color theme="1"/>
      </right>
      <top style="thin">
        <color theme="6"/>
      </top>
      <bottom style="thin">
        <color theme="6"/>
      </bottom>
      <diagonal/>
    </border>
    <border>
      <left style="thin">
        <color theme="2" tint="-9.9978637043366805E-2"/>
      </left>
      <right style="medium">
        <color theme="1"/>
      </right>
      <top style="thin">
        <color theme="6"/>
      </top>
      <bottom style="medium">
        <color theme="1"/>
      </bottom>
      <diagonal/>
    </border>
    <border>
      <left style="thin">
        <color theme="2" tint="-9.9978637043366805E-2"/>
      </left>
      <right style="medium">
        <color theme="1"/>
      </right>
      <top/>
      <bottom style="thin">
        <color theme="6"/>
      </bottom>
      <diagonal/>
    </border>
    <border>
      <left style="thin">
        <color theme="2" tint="-9.9978637043366805E-2"/>
      </left>
      <right style="medium">
        <color theme="1"/>
      </right>
      <top style="thin">
        <color theme="6"/>
      </top>
      <bottom style="thin">
        <color theme="2" tint="-9.9978637043366805E-2"/>
      </bottom>
      <diagonal/>
    </border>
    <border>
      <left style="dotted">
        <color indexed="64"/>
      </left>
      <right style="medium">
        <color theme="1"/>
      </right>
      <top style="medium">
        <color theme="1"/>
      </top>
      <bottom/>
      <diagonal/>
    </border>
    <border>
      <left style="dotted">
        <color indexed="64"/>
      </left>
      <right style="medium">
        <color theme="1"/>
      </right>
      <top style="thin">
        <color theme="1"/>
      </top>
      <bottom/>
      <diagonal/>
    </border>
    <border>
      <left style="dotted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dotted">
        <color indexed="64"/>
      </left>
      <right style="medium">
        <color theme="1"/>
      </right>
      <top/>
      <bottom/>
      <diagonal/>
    </border>
    <border>
      <left style="dotted">
        <color indexed="64"/>
      </left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dotted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dotted">
        <color indexed="64"/>
      </left>
      <right style="medium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6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2">
    <xf numFmtId="0" fontId="0" fillId="0" borderId="0"/>
    <xf numFmtId="0" fontId="12" fillId="0" borderId="0"/>
  </cellStyleXfs>
  <cellXfs count="319">
    <xf numFmtId="0" fontId="0" fillId="0" borderId="0" xfId="0"/>
    <xf numFmtId="0" fontId="8" fillId="0" borderId="0" xfId="0" applyFont="1"/>
    <xf numFmtId="0" fontId="8" fillId="0" borderId="0" xfId="0" applyFont="1" applyAlignment="1">
      <alignment horizontal="center"/>
    </xf>
    <xf numFmtId="0" fontId="8" fillId="2" borderId="1" xfId="0" applyFont="1" applyFill="1" applyBorder="1"/>
    <xf numFmtId="0" fontId="8" fillId="0" borderId="1" xfId="0" applyFont="1" applyBorder="1"/>
    <xf numFmtId="0" fontId="8" fillId="3" borderId="1" xfId="0" applyFont="1" applyFill="1" applyBorder="1"/>
    <xf numFmtId="0" fontId="8" fillId="0" borderId="4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7" xfId="0" applyFont="1" applyBorder="1"/>
    <xf numFmtId="0" fontId="8" fillId="0" borderId="9" xfId="0" applyFont="1" applyBorder="1"/>
    <xf numFmtId="0" fontId="8" fillId="0" borderId="11" xfId="0" applyFont="1" applyBorder="1"/>
    <xf numFmtId="0" fontId="8" fillId="0" borderId="16" xfId="0" applyFont="1" applyBorder="1"/>
    <xf numFmtId="0" fontId="8" fillId="0" borderId="17" xfId="0" applyFont="1" applyBorder="1"/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/>
    <xf numFmtId="0" fontId="9" fillId="0" borderId="17" xfId="0" applyFont="1" applyBorder="1"/>
    <xf numFmtId="0" fontId="9" fillId="0" borderId="11" xfId="0" applyFont="1" applyBorder="1"/>
    <xf numFmtId="0" fontId="8" fillId="0" borderId="1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/>
    <xf numFmtId="0" fontId="8" fillId="0" borderId="15" xfId="0" applyFont="1" applyBorder="1"/>
    <xf numFmtId="0" fontId="10" fillId="0" borderId="0" xfId="0" applyFont="1"/>
    <xf numFmtId="0" fontId="8" fillId="0" borderId="12" xfId="0" applyFont="1" applyBorder="1"/>
    <xf numFmtId="0" fontId="8" fillId="0" borderId="26" xfId="0" applyFont="1" applyBorder="1"/>
    <xf numFmtId="0" fontId="11" fillId="0" borderId="0" xfId="0" applyFont="1"/>
    <xf numFmtId="0" fontId="11" fillId="0" borderId="16" xfId="0" applyFont="1" applyBorder="1"/>
    <xf numFmtId="0" fontId="0" fillId="0" borderId="11" xfId="0" applyBorder="1"/>
    <xf numFmtId="0" fontId="8" fillId="4" borderId="2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8" fillId="0" borderId="2" xfId="0" applyFont="1" applyBorder="1"/>
    <xf numFmtId="0" fontId="9" fillId="4" borderId="1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29" xfId="0" applyFont="1" applyBorder="1"/>
    <xf numFmtId="0" fontId="8" fillId="0" borderId="15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4" xfId="0" applyFont="1" applyBorder="1"/>
    <xf numFmtId="0" fontId="8" fillId="6" borderId="7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21" xfId="0" applyFont="1" applyFill="1" applyBorder="1"/>
    <xf numFmtId="0" fontId="8" fillId="6" borderId="23" xfId="0" applyFont="1" applyFill="1" applyBorder="1"/>
    <xf numFmtId="0" fontId="8" fillId="6" borderId="19" xfId="0" applyFont="1" applyFill="1" applyBorder="1"/>
    <xf numFmtId="0" fontId="8" fillId="6" borderId="24" xfId="0" applyFont="1" applyFill="1" applyBorder="1"/>
    <xf numFmtId="0" fontId="8" fillId="6" borderId="31" xfId="0" applyFont="1" applyFill="1" applyBorder="1"/>
    <xf numFmtId="164" fontId="8" fillId="0" borderId="0" xfId="0" applyNumberFormat="1" applyFont="1" applyAlignment="1">
      <alignment horizontal="center"/>
    </xf>
    <xf numFmtId="0" fontId="9" fillId="0" borderId="29" xfId="0" applyFont="1" applyBorder="1" applyAlignment="1">
      <alignment horizontal="center"/>
    </xf>
    <xf numFmtId="0" fontId="9" fillId="3" borderId="35" xfId="0" applyFont="1" applyFill="1" applyBorder="1" applyAlignment="1">
      <alignment horizontal="center"/>
    </xf>
    <xf numFmtId="0" fontId="9" fillId="3" borderId="36" xfId="0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  <xf numFmtId="0" fontId="9" fillId="0" borderId="39" xfId="0" applyFont="1" applyBorder="1"/>
    <xf numFmtId="0" fontId="9" fillId="0" borderId="17" xfId="0" applyFont="1" applyBorder="1" applyAlignment="1">
      <alignment horizontal="center"/>
    </xf>
    <xf numFmtId="0" fontId="9" fillId="0" borderId="33" xfId="0" applyFont="1" applyBorder="1"/>
    <xf numFmtId="0" fontId="9" fillId="3" borderId="40" xfId="0" applyFont="1" applyFill="1" applyBorder="1" applyAlignment="1">
      <alignment horizontal="center"/>
    </xf>
    <xf numFmtId="164" fontId="9" fillId="3" borderId="40" xfId="0" applyNumberFormat="1" applyFont="1" applyFill="1" applyBorder="1" applyAlignment="1">
      <alignment horizontal="center"/>
    </xf>
    <xf numFmtId="164" fontId="8" fillId="3" borderId="41" xfId="0" applyNumberFormat="1" applyFont="1" applyFill="1" applyBorder="1" applyAlignment="1">
      <alignment horizontal="center"/>
    </xf>
    <xf numFmtId="164" fontId="8" fillId="3" borderId="42" xfId="0" applyNumberFormat="1" applyFont="1" applyFill="1" applyBorder="1" applyAlignment="1">
      <alignment horizontal="center"/>
    </xf>
    <xf numFmtId="0" fontId="9" fillId="0" borderId="46" xfId="0" applyFont="1" applyBorder="1"/>
    <xf numFmtId="0" fontId="8" fillId="0" borderId="46" xfId="0" applyFont="1" applyBorder="1" applyAlignment="1">
      <alignment horizontal="center"/>
    </xf>
    <xf numFmtId="0" fontId="8" fillId="0" borderId="46" xfId="0" applyFont="1" applyBorder="1"/>
    <xf numFmtId="164" fontId="8" fillId="0" borderId="46" xfId="0" applyNumberFormat="1" applyFont="1" applyBorder="1" applyAlignment="1">
      <alignment horizontal="center"/>
    </xf>
    <xf numFmtId="0" fontId="9" fillId="0" borderId="48" xfId="0" applyFont="1" applyBorder="1"/>
    <xf numFmtId="0" fontId="8" fillId="0" borderId="48" xfId="0" applyFont="1" applyBorder="1"/>
    <xf numFmtId="0" fontId="9" fillId="0" borderId="47" xfId="0" applyFont="1" applyBorder="1"/>
    <xf numFmtId="0" fontId="8" fillId="0" borderId="47" xfId="0" applyFont="1" applyBorder="1" applyAlignment="1">
      <alignment horizontal="center"/>
    </xf>
    <xf numFmtId="0" fontId="8" fillId="0" borderId="47" xfId="0" applyFont="1" applyBorder="1"/>
    <xf numFmtId="0" fontId="9" fillId="0" borderId="49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/>
    <xf numFmtId="0" fontId="9" fillId="0" borderId="49" xfId="0" applyFont="1" applyBorder="1"/>
    <xf numFmtId="0" fontId="8" fillId="0" borderId="49" xfId="0" applyFont="1" applyBorder="1"/>
    <xf numFmtId="0" fontId="8" fillId="0" borderId="51" xfId="0" applyFont="1" applyBorder="1"/>
    <xf numFmtId="0" fontId="8" fillId="0" borderId="52" xfId="0" applyFont="1" applyBorder="1"/>
    <xf numFmtId="0" fontId="8" fillId="0" borderId="53" xfId="0" applyFont="1" applyBorder="1"/>
    <xf numFmtId="0" fontId="8" fillId="3" borderId="53" xfId="0" applyFont="1" applyFill="1" applyBorder="1"/>
    <xf numFmtId="0" fontId="8" fillId="3" borderId="49" xfId="0" applyFont="1" applyFill="1" applyBorder="1"/>
    <xf numFmtId="0" fontId="8" fillId="3" borderId="54" xfId="0" applyFont="1" applyFill="1" applyBorder="1"/>
    <xf numFmtId="0" fontId="8" fillId="2" borderId="48" xfId="0" applyFont="1" applyFill="1" applyBorder="1" applyAlignment="1">
      <alignment horizontal="center"/>
    </xf>
    <xf numFmtId="0" fontId="8" fillId="2" borderId="54" xfId="0" applyFont="1" applyFill="1" applyBorder="1"/>
    <xf numFmtId="0" fontId="8" fillId="2" borderId="46" xfId="0" applyFont="1" applyFill="1" applyBorder="1" applyAlignment="1">
      <alignment horizontal="center"/>
    </xf>
    <xf numFmtId="0" fontId="8" fillId="2" borderId="49" xfId="0" applyFont="1" applyFill="1" applyBorder="1"/>
    <xf numFmtId="0" fontId="8" fillId="2" borderId="47" xfId="0" applyFont="1" applyFill="1" applyBorder="1" applyAlignment="1">
      <alignment horizontal="center"/>
    </xf>
    <xf numFmtId="0" fontId="8" fillId="2" borderId="53" xfId="0" applyFont="1" applyFill="1" applyBorder="1"/>
    <xf numFmtId="0" fontId="8" fillId="4" borderId="48" xfId="0" applyFont="1" applyFill="1" applyBorder="1" applyAlignment="1">
      <alignment horizontal="center"/>
    </xf>
    <xf numFmtId="0" fontId="8" fillId="4" borderId="54" xfId="0" applyFont="1" applyFill="1" applyBorder="1"/>
    <xf numFmtId="0" fontId="8" fillId="4" borderId="46" xfId="0" applyFont="1" applyFill="1" applyBorder="1" applyAlignment="1">
      <alignment horizontal="center"/>
    </xf>
    <xf numFmtId="0" fontId="8" fillId="4" borderId="49" xfId="0" applyFont="1" applyFill="1" applyBorder="1"/>
    <xf numFmtId="0" fontId="8" fillId="4" borderId="47" xfId="0" applyFont="1" applyFill="1" applyBorder="1" applyAlignment="1">
      <alignment horizontal="center"/>
    </xf>
    <xf numFmtId="0" fontId="8" fillId="4" borderId="53" xfId="0" applyFont="1" applyFill="1" applyBorder="1"/>
    <xf numFmtId="0" fontId="8" fillId="3" borderId="48" xfId="0" applyFont="1" applyFill="1" applyBorder="1" applyAlignment="1">
      <alignment horizontal="center"/>
    </xf>
    <xf numFmtId="0" fontId="8" fillId="3" borderId="46" xfId="0" applyFont="1" applyFill="1" applyBorder="1" applyAlignment="1">
      <alignment horizontal="center"/>
    </xf>
    <xf numFmtId="0" fontId="8" fillId="3" borderId="47" xfId="0" applyFont="1" applyFill="1" applyBorder="1" applyAlignment="1">
      <alignment horizontal="center"/>
    </xf>
    <xf numFmtId="0" fontId="8" fillId="5" borderId="48" xfId="0" applyFont="1" applyFill="1" applyBorder="1" applyAlignment="1">
      <alignment horizontal="center"/>
    </xf>
    <xf numFmtId="0" fontId="8" fillId="5" borderId="54" xfId="0" applyFont="1" applyFill="1" applyBorder="1"/>
    <xf numFmtId="0" fontId="8" fillId="5" borderId="46" xfId="0" applyFont="1" applyFill="1" applyBorder="1" applyAlignment="1">
      <alignment horizontal="center"/>
    </xf>
    <xf numFmtId="0" fontId="8" fillId="5" borderId="49" xfId="0" applyFont="1" applyFill="1" applyBorder="1"/>
    <xf numFmtId="0" fontId="8" fillId="5" borderId="47" xfId="0" applyFont="1" applyFill="1" applyBorder="1" applyAlignment="1">
      <alignment horizontal="center"/>
    </xf>
    <xf numFmtId="0" fontId="8" fillId="5" borderId="53" xfId="0" applyFont="1" applyFill="1" applyBorder="1"/>
    <xf numFmtId="0" fontId="8" fillId="0" borderId="59" xfId="0" applyFont="1" applyBorder="1"/>
    <xf numFmtId="0" fontId="9" fillId="7" borderId="0" xfId="0" applyFont="1" applyFill="1"/>
    <xf numFmtId="0" fontId="8" fillId="7" borderId="0" xfId="0" applyFont="1" applyFill="1"/>
    <xf numFmtId="0" fontId="8" fillId="7" borderId="0" xfId="0" applyFont="1" applyFill="1" applyAlignment="1">
      <alignment horizontal="center"/>
    </xf>
    <xf numFmtId="164" fontId="8" fillId="7" borderId="0" xfId="0" applyNumberFormat="1" applyFont="1" applyFill="1" applyAlignment="1">
      <alignment horizontal="center"/>
    </xf>
    <xf numFmtId="0" fontId="13" fillId="0" borderId="50" xfId="0" applyFont="1" applyBorder="1"/>
    <xf numFmtId="0" fontId="13" fillId="0" borderId="46" xfId="0" applyFont="1" applyBorder="1"/>
    <xf numFmtId="0" fontId="13" fillId="0" borderId="46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7" borderId="9" xfId="0" applyFont="1" applyFill="1" applyBorder="1"/>
    <xf numFmtId="0" fontId="8" fillId="7" borderId="6" xfId="0" applyFont="1" applyFill="1" applyBorder="1"/>
    <xf numFmtId="0" fontId="8" fillId="7" borderId="8" xfId="0" applyFont="1" applyFill="1" applyBorder="1"/>
    <xf numFmtId="0" fontId="8" fillId="7" borderId="14" xfId="0" applyFont="1" applyFill="1" applyBorder="1"/>
    <xf numFmtId="0" fontId="8" fillId="7" borderId="16" xfId="0" applyFont="1" applyFill="1" applyBorder="1"/>
    <xf numFmtId="0" fontId="8" fillId="7" borderId="7" xfId="0" applyFont="1" applyFill="1" applyBorder="1"/>
    <xf numFmtId="0" fontId="9" fillId="7" borderId="0" xfId="0" applyFont="1" applyFill="1" applyAlignment="1">
      <alignment horizontal="center" vertical="center"/>
    </xf>
    <xf numFmtId="0" fontId="8" fillId="7" borderId="19" xfId="0" applyFont="1" applyFill="1" applyBorder="1"/>
    <xf numFmtId="0" fontId="9" fillId="7" borderId="0" xfId="0" applyFont="1" applyFill="1" applyAlignment="1">
      <alignment horizontal="center"/>
    </xf>
    <xf numFmtId="0" fontId="8" fillId="7" borderId="61" xfId="0" applyFont="1" applyFill="1" applyBorder="1"/>
    <xf numFmtId="0" fontId="9" fillId="3" borderId="43" xfId="0" applyFont="1" applyFill="1" applyBorder="1"/>
    <xf numFmtId="164" fontId="8" fillId="3" borderId="44" xfId="0" applyNumberFormat="1" applyFont="1" applyFill="1" applyBorder="1" applyAlignment="1">
      <alignment horizontal="center"/>
    </xf>
    <xf numFmtId="164" fontId="8" fillId="3" borderId="45" xfId="0" applyNumberFormat="1" applyFont="1" applyFill="1" applyBorder="1" applyAlignment="1">
      <alignment horizontal="center"/>
    </xf>
    <xf numFmtId="0" fontId="9" fillId="0" borderId="64" xfId="0" applyFont="1" applyBorder="1"/>
    <xf numFmtId="0" fontId="8" fillId="0" borderId="65" xfId="0" applyFont="1" applyBorder="1"/>
    <xf numFmtId="0" fontId="8" fillId="0" borderId="66" xfId="0" applyFont="1" applyBorder="1"/>
    <xf numFmtId="0" fontId="9" fillId="0" borderId="68" xfId="0" applyFont="1" applyBorder="1"/>
    <xf numFmtId="0" fontId="9" fillId="0" borderId="69" xfId="0" applyFont="1" applyBorder="1"/>
    <xf numFmtId="0" fontId="9" fillId="0" borderId="70" xfId="0" applyFont="1" applyBorder="1"/>
    <xf numFmtId="0" fontId="9" fillId="3" borderId="72" xfId="0" applyFont="1" applyFill="1" applyBorder="1"/>
    <xf numFmtId="0" fontId="8" fillId="0" borderId="63" xfId="0" applyFont="1" applyBorder="1" applyAlignment="1">
      <alignment horizontal="center"/>
    </xf>
    <xf numFmtId="0" fontId="8" fillId="0" borderId="62" xfId="0" applyFont="1" applyBorder="1"/>
    <xf numFmtId="0" fontId="8" fillId="0" borderId="62" xfId="0" applyFont="1" applyBorder="1" applyAlignment="1">
      <alignment horizontal="center"/>
    </xf>
    <xf numFmtId="0" fontId="8" fillId="3" borderId="74" xfId="0" applyFont="1" applyFill="1" applyBorder="1" applyAlignment="1">
      <alignment horizontal="center"/>
    </xf>
    <xf numFmtId="0" fontId="8" fillId="0" borderId="63" xfId="0" applyFont="1" applyBorder="1"/>
    <xf numFmtId="164" fontId="8" fillId="3" borderId="75" xfId="0" applyNumberFormat="1" applyFont="1" applyFill="1" applyBorder="1" applyAlignment="1">
      <alignment horizontal="center"/>
    </xf>
    <xf numFmtId="0" fontId="8" fillId="0" borderId="76" xfId="0" applyFont="1" applyBorder="1"/>
    <xf numFmtId="164" fontId="8" fillId="3" borderId="73" xfId="0" applyNumberFormat="1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18" xfId="0" applyFont="1" applyBorder="1"/>
    <xf numFmtId="0" fontId="13" fillId="0" borderId="18" xfId="0" applyFont="1" applyBorder="1" applyAlignment="1">
      <alignment horizontal="center"/>
    </xf>
    <xf numFmtId="0" fontId="8" fillId="7" borderId="77" xfId="0" applyFont="1" applyFill="1" applyBorder="1"/>
    <xf numFmtId="0" fontId="9" fillId="7" borderId="86" xfId="0" applyFont="1" applyFill="1" applyBorder="1"/>
    <xf numFmtId="0" fontId="8" fillId="6" borderId="87" xfId="0" applyFont="1" applyFill="1" applyBorder="1"/>
    <xf numFmtId="0" fontId="8" fillId="6" borderId="88" xfId="0" applyFont="1" applyFill="1" applyBorder="1"/>
    <xf numFmtId="0" fontId="8" fillId="0" borderId="82" xfId="0" applyFont="1" applyBorder="1"/>
    <xf numFmtId="0" fontId="8" fillId="0" borderId="81" xfId="0" applyFont="1" applyBorder="1"/>
    <xf numFmtId="0" fontId="8" fillId="0" borderId="5" xfId="0" applyFont="1" applyBorder="1"/>
    <xf numFmtId="0" fontId="8" fillId="0" borderId="83" xfId="0" applyFont="1" applyBorder="1"/>
    <xf numFmtId="0" fontId="8" fillId="0" borderId="78" xfId="0" applyFont="1" applyBorder="1"/>
    <xf numFmtId="0" fontId="8" fillId="0" borderId="84" xfId="0" applyFont="1" applyBorder="1"/>
    <xf numFmtId="0" fontId="8" fillId="0" borderId="79" xfId="0" applyFont="1" applyBorder="1"/>
    <xf numFmtId="0" fontId="8" fillId="0" borderId="85" xfId="0" applyFont="1" applyBorder="1"/>
    <xf numFmtId="0" fontId="8" fillId="0" borderId="27" xfId="0" applyFont="1" applyBorder="1"/>
    <xf numFmtId="0" fontId="8" fillId="0" borderId="28" xfId="0" applyFont="1" applyBorder="1"/>
    <xf numFmtId="0" fontId="8" fillId="0" borderId="80" xfId="0" applyFont="1" applyBorder="1"/>
    <xf numFmtId="0" fontId="8" fillId="0" borderId="93" xfId="0" applyFont="1" applyBorder="1"/>
    <xf numFmtId="0" fontId="8" fillId="0" borderId="94" xfId="0" applyFont="1" applyBorder="1"/>
    <xf numFmtId="0" fontId="8" fillId="0" borderId="95" xfId="0" applyFont="1" applyBorder="1"/>
    <xf numFmtId="0" fontId="8" fillId="0" borderId="96" xfId="0" applyFont="1" applyBorder="1"/>
    <xf numFmtId="164" fontId="9" fillId="0" borderId="50" xfId="0" applyNumberFormat="1" applyFont="1" applyBorder="1" applyAlignment="1">
      <alignment horizontal="center"/>
    </xf>
    <xf numFmtId="164" fontId="8" fillId="0" borderId="50" xfId="0" applyNumberFormat="1" applyFont="1" applyBorder="1" applyAlignment="1">
      <alignment horizontal="center"/>
    </xf>
    <xf numFmtId="164" fontId="8" fillId="0" borderId="51" xfId="0" applyNumberFormat="1" applyFont="1" applyBorder="1" applyAlignment="1">
      <alignment horizontal="center"/>
    </xf>
    <xf numFmtId="164" fontId="8" fillId="0" borderId="52" xfId="0" applyNumberFormat="1" applyFont="1" applyBorder="1" applyAlignment="1">
      <alignment horizontal="center"/>
    </xf>
    <xf numFmtId="164" fontId="8" fillId="0" borderId="26" xfId="0" applyNumberFormat="1" applyFont="1" applyBorder="1"/>
    <xf numFmtId="0" fontId="8" fillId="0" borderId="98" xfId="0" applyFont="1" applyBorder="1"/>
    <xf numFmtId="0" fontId="8" fillId="0" borderId="86" xfId="0" applyFont="1" applyBorder="1"/>
    <xf numFmtId="0" fontId="8" fillId="0" borderId="99" xfId="0" applyFont="1" applyBorder="1"/>
    <xf numFmtId="0" fontId="10" fillId="7" borderId="0" xfId="0" applyFont="1" applyFill="1"/>
    <xf numFmtId="0" fontId="0" fillId="7" borderId="0" xfId="0" applyFill="1"/>
    <xf numFmtId="0" fontId="11" fillId="0" borderId="68" xfId="0" applyFont="1" applyBorder="1"/>
    <xf numFmtId="0" fontId="8" fillId="6" borderId="100" xfId="0" applyFont="1" applyFill="1" applyBorder="1"/>
    <xf numFmtId="0" fontId="8" fillId="6" borderId="100" xfId="0" applyFont="1" applyFill="1" applyBorder="1" applyAlignment="1">
      <alignment horizontal="center"/>
    </xf>
    <xf numFmtId="0" fontId="8" fillId="7" borderId="49" xfId="0" applyFont="1" applyFill="1" applyBorder="1"/>
    <xf numFmtId="0" fontId="8" fillId="7" borderId="53" xfId="0" applyFont="1" applyFill="1" applyBorder="1"/>
    <xf numFmtId="0" fontId="8" fillId="7" borderId="54" xfId="0" applyFont="1" applyFill="1" applyBorder="1"/>
    <xf numFmtId="0" fontId="13" fillId="7" borderId="49" xfId="0" applyFont="1" applyFill="1" applyBorder="1"/>
    <xf numFmtId="0" fontId="8" fillId="0" borderId="68" xfId="0" applyFont="1" applyBorder="1"/>
    <xf numFmtId="0" fontId="8" fillId="0" borderId="67" xfId="0" applyFont="1" applyBorder="1"/>
    <xf numFmtId="0" fontId="8" fillId="9" borderId="88" xfId="0" applyFont="1" applyFill="1" applyBorder="1"/>
    <xf numFmtId="0" fontId="8" fillId="9" borderId="104" xfId="0" applyFont="1" applyFill="1" applyBorder="1"/>
    <xf numFmtId="0" fontId="8" fillId="7" borderId="105" xfId="0" applyFont="1" applyFill="1" applyBorder="1"/>
    <xf numFmtId="0" fontId="8" fillId="7" borderId="62" xfId="0" applyFont="1" applyFill="1" applyBorder="1"/>
    <xf numFmtId="0" fontId="8" fillId="6" borderId="2" xfId="0" applyFont="1" applyFill="1" applyBorder="1"/>
    <xf numFmtId="2" fontId="8" fillId="0" borderId="7" xfId="0" applyNumberFormat="1" applyFont="1" applyBorder="1" applyAlignment="1">
      <alignment horizontal="center"/>
    </xf>
    <xf numFmtId="165" fontId="8" fillId="7" borderId="106" xfId="0" applyNumberFormat="1" applyFont="1" applyFill="1" applyBorder="1"/>
    <xf numFmtId="0" fontId="8" fillId="0" borderId="107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9" fillId="0" borderId="107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1" xfId="0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13" fillId="0" borderId="112" xfId="0" applyFont="1" applyBorder="1" applyAlignment="1">
      <alignment horizontal="center"/>
    </xf>
    <xf numFmtId="0" fontId="13" fillId="0" borderId="113" xfId="0" applyFont="1" applyBorder="1" applyAlignment="1">
      <alignment horizontal="center"/>
    </xf>
    <xf numFmtId="0" fontId="8" fillId="0" borderId="114" xfId="0" applyFont="1" applyBorder="1" applyAlignment="1">
      <alignment horizontal="center"/>
    </xf>
    <xf numFmtId="0" fontId="8" fillId="0" borderId="115" xfId="0" applyFont="1" applyBorder="1" applyAlignment="1">
      <alignment horizontal="center"/>
    </xf>
    <xf numFmtId="0" fontId="8" fillId="0" borderId="116" xfId="0" applyFont="1" applyBorder="1" applyAlignment="1">
      <alignment horizontal="center"/>
    </xf>
    <xf numFmtId="0" fontId="8" fillId="0" borderId="117" xfId="0" applyFont="1" applyBorder="1" applyAlignment="1">
      <alignment horizontal="center"/>
    </xf>
    <xf numFmtId="0" fontId="8" fillId="7" borderId="91" xfId="0" applyFont="1" applyFill="1" applyBorder="1" applyAlignment="1">
      <alignment horizontal="center"/>
    </xf>
    <xf numFmtId="0" fontId="9" fillId="3" borderId="123" xfId="0" applyFont="1" applyFill="1" applyBorder="1"/>
    <xf numFmtId="164" fontId="9" fillId="0" borderId="71" xfId="0" applyNumberFormat="1" applyFont="1" applyBorder="1" applyAlignment="1">
      <alignment horizontal="center"/>
    </xf>
    <xf numFmtId="164" fontId="9" fillId="3" borderId="123" xfId="0" applyNumberFormat="1" applyFont="1" applyFill="1" applyBorder="1" applyAlignment="1">
      <alignment horizontal="center"/>
    </xf>
    <xf numFmtId="0" fontId="9" fillId="0" borderId="71" xfId="0" applyFont="1" applyBorder="1" applyAlignment="1">
      <alignment horizontal="center"/>
    </xf>
    <xf numFmtId="0" fontId="9" fillId="3" borderId="123" xfId="0" applyFont="1" applyFill="1" applyBorder="1" applyAlignment="1">
      <alignment horizontal="center"/>
    </xf>
    <xf numFmtId="164" fontId="8" fillId="0" borderId="126" xfId="0" applyNumberFormat="1" applyFont="1" applyBorder="1"/>
    <xf numFmtId="0" fontId="8" fillId="0" borderId="54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3" borderId="124" xfId="0" applyNumberFormat="1" applyFont="1" applyFill="1" applyBorder="1" applyAlignment="1">
      <alignment horizontal="center"/>
    </xf>
    <xf numFmtId="164" fontId="8" fillId="3" borderId="120" xfId="0" applyNumberFormat="1" applyFont="1" applyFill="1" applyBorder="1" applyAlignment="1">
      <alignment horizontal="center"/>
    </xf>
    <xf numFmtId="164" fontId="8" fillId="3" borderId="61" xfId="0" applyNumberFormat="1" applyFont="1" applyFill="1" applyBorder="1" applyAlignment="1">
      <alignment horizontal="center"/>
    </xf>
    <xf numFmtId="164" fontId="8" fillId="3" borderId="119" xfId="0" applyNumberFormat="1" applyFont="1" applyFill="1" applyBorder="1" applyAlignment="1">
      <alignment horizontal="center"/>
    </xf>
    <xf numFmtId="164" fontId="8" fillId="3" borderId="72" xfId="0" applyNumberFormat="1" applyFont="1" applyFill="1" applyBorder="1" applyAlignment="1">
      <alignment horizontal="center"/>
    </xf>
    <xf numFmtId="164" fontId="8" fillId="3" borderId="121" xfId="0" applyNumberFormat="1" applyFont="1" applyFill="1" applyBorder="1" applyAlignment="1">
      <alignment horizontal="center"/>
    </xf>
    <xf numFmtId="164" fontId="8" fillId="3" borderId="125" xfId="0" applyNumberFormat="1" applyFont="1" applyFill="1" applyBorder="1" applyAlignment="1">
      <alignment horizontal="center"/>
    </xf>
    <xf numFmtId="164" fontId="8" fillId="3" borderId="122" xfId="0" applyNumberFormat="1" applyFont="1" applyFill="1" applyBorder="1" applyAlignment="1">
      <alignment horizontal="center"/>
    </xf>
    <xf numFmtId="164" fontId="8" fillId="3" borderId="118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127" xfId="0" applyFont="1" applyBorder="1"/>
    <xf numFmtId="0" fontId="9" fillId="7" borderId="0" xfId="0" applyFont="1" applyFill="1" applyAlignment="1">
      <alignment horizontal="left"/>
    </xf>
    <xf numFmtId="0" fontId="8" fillId="7" borderId="86" xfId="0" applyFont="1" applyFill="1" applyBorder="1"/>
    <xf numFmtId="0" fontId="8" fillId="7" borderId="129" xfId="0" applyFont="1" applyFill="1" applyBorder="1"/>
    <xf numFmtId="0" fontId="8" fillId="7" borderId="71" xfId="0" applyFont="1" applyFill="1" applyBorder="1"/>
    <xf numFmtId="0" fontId="8" fillId="0" borderId="130" xfId="0" applyFont="1" applyBorder="1"/>
    <xf numFmtId="0" fontId="8" fillId="7" borderId="131" xfId="0" applyFont="1" applyFill="1" applyBorder="1" applyAlignment="1">
      <alignment horizontal="left"/>
    </xf>
    <xf numFmtId="0" fontId="8" fillId="7" borderId="132" xfId="0" applyFont="1" applyFill="1" applyBorder="1" applyAlignment="1">
      <alignment horizontal="center"/>
    </xf>
    <xf numFmtId="0" fontId="8" fillId="7" borderId="132" xfId="0" applyFont="1" applyFill="1" applyBorder="1"/>
    <xf numFmtId="0" fontId="8" fillId="7" borderId="133" xfId="0" applyFont="1" applyFill="1" applyBorder="1" applyAlignment="1">
      <alignment horizontal="left"/>
    </xf>
    <xf numFmtId="0" fontId="8" fillId="7" borderId="134" xfId="0" applyFont="1" applyFill="1" applyBorder="1"/>
    <xf numFmtId="0" fontId="8" fillId="7" borderId="135" xfId="0" applyFont="1" applyFill="1" applyBorder="1"/>
    <xf numFmtId="0" fontId="8" fillId="7" borderId="136" xfId="0" applyFont="1" applyFill="1" applyBorder="1" applyAlignment="1">
      <alignment horizontal="left"/>
    </xf>
    <xf numFmtId="0" fontId="8" fillId="7" borderId="137" xfId="0" applyFont="1" applyFill="1" applyBorder="1" applyAlignment="1">
      <alignment horizontal="center"/>
    </xf>
    <xf numFmtId="0" fontId="8" fillId="7" borderId="138" xfId="0" applyFont="1" applyFill="1" applyBorder="1"/>
    <xf numFmtId="0" fontId="8" fillId="7" borderId="139" xfId="0" applyFont="1" applyFill="1" applyBorder="1"/>
    <xf numFmtId="0" fontId="8" fillId="7" borderId="87" xfId="0" applyFont="1" applyFill="1" applyBorder="1"/>
    <xf numFmtId="1" fontId="13" fillId="0" borderId="55" xfId="0" applyNumberFormat="1" applyFont="1" applyBorder="1"/>
    <xf numFmtId="1" fontId="8" fillId="0" borderId="55" xfId="0" applyNumberFormat="1" applyFont="1" applyBorder="1"/>
    <xf numFmtId="1" fontId="8" fillId="0" borderId="57" xfId="0" applyNumberFormat="1" applyFont="1" applyBorder="1"/>
    <xf numFmtId="1" fontId="8" fillId="0" borderId="58" xfId="0" applyNumberFormat="1" applyFont="1" applyBorder="1"/>
    <xf numFmtId="1" fontId="8" fillId="7" borderId="0" xfId="0" applyNumberFormat="1" applyFont="1" applyFill="1"/>
    <xf numFmtId="1" fontId="8" fillId="0" borderId="0" xfId="0" applyNumberFormat="1" applyFont="1"/>
    <xf numFmtId="1" fontId="8" fillId="0" borderId="56" xfId="0" applyNumberFormat="1" applyFont="1" applyBorder="1"/>
    <xf numFmtId="0" fontId="8" fillId="0" borderId="55" xfId="0" applyFont="1" applyBorder="1"/>
    <xf numFmtId="0" fontId="6" fillId="0" borderId="78" xfId="0" applyFont="1" applyBorder="1"/>
    <xf numFmtId="0" fontId="6" fillId="0" borderId="4" xfId="0" applyFont="1" applyBorder="1"/>
    <xf numFmtId="0" fontId="6" fillId="0" borderId="97" xfId="0" applyFont="1" applyBorder="1"/>
    <xf numFmtId="0" fontId="8" fillId="6" borderId="3" xfId="0" applyFont="1" applyFill="1" applyBorder="1" applyAlignment="1">
      <alignment horizontal="center"/>
    </xf>
    <xf numFmtId="0" fontId="8" fillId="6" borderId="17" xfId="0" applyFont="1" applyFill="1" applyBorder="1" applyAlignment="1">
      <alignment horizontal="center"/>
    </xf>
    <xf numFmtId="0" fontId="14" fillId="7" borderId="0" xfId="0" applyFont="1" applyFill="1"/>
    <xf numFmtId="0" fontId="4" fillId="7" borderId="0" xfId="0" applyFont="1" applyFill="1" applyAlignment="1">
      <alignment horizontal="center"/>
    </xf>
    <xf numFmtId="0" fontId="4" fillId="0" borderId="128" xfId="0" applyFont="1" applyBorder="1" applyAlignment="1">
      <alignment horizontal="center"/>
    </xf>
    <xf numFmtId="49" fontId="8" fillId="7" borderId="0" xfId="0" applyNumberFormat="1" applyFont="1" applyFill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/>
    </xf>
    <xf numFmtId="0" fontId="3" fillId="3" borderId="92" xfId="0" applyFont="1" applyFill="1" applyBorder="1" applyAlignment="1">
      <alignment horizontal="center" vertical="center"/>
    </xf>
    <xf numFmtId="0" fontId="3" fillId="3" borderId="92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7" borderId="0" xfId="0" applyFont="1" applyFill="1"/>
    <xf numFmtId="0" fontId="3" fillId="0" borderId="0" xfId="0" applyFont="1"/>
    <xf numFmtId="0" fontId="2" fillId="0" borderId="82" xfId="0" applyFont="1" applyBorder="1"/>
    <xf numFmtId="0" fontId="8" fillId="0" borderId="15" xfId="0" applyFont="1" applyBorder="1"/>
    <xf numFmtId="0" fontId="8" fillId="0" borderId="3" xfId="0" applyFont="1" applyBorder="1"/>
    <xf numFmtId="0" fontId="8" fillId="8" borderId="25" xfId="0" applyFont="1" applyFill="1" applyBorder="1"/>
    <xf numFmtId="0" fontId="8" fillId="8" borderId="16" xfId="0" applyFont="1" applyFill="1" applyBorder="1"/>
    <xf numFmtId="0" fontId="8" fillId="8" borderId="102" xfId="0" applyFont="1" applyFill="1" applyBorder="1"/>
    <xf numFmtId="0" fontId="8" fillId="8" borderId="103" xfId="0" applyFont="1" applyFill="1" applyBorder="1"/>
    <xf numFmtId="0" fontId="8" fillId="7" borderId="10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8" fillId="7" borderId="90" xfId="0" applyFont="1" applyFill="1" applyBorder="1" applyAlignment="1">
      <alignment horizontal="center"/>
    </xf>
    <xf numFmtId="0" fontId="8" fillId="0" borderId="30" xfId="0" applyFont="1" applyBorder="1"/>
    <xf numFmtId="0" fontId="9" fillId="7" borderId="0" xfId="0" applyFont="1" applyFill="1" applyAlignment="1">
      <alignment horizontal="left"/>
    </xf>
    <xf numFmtId="0" fontId="8" fillId="0" borderId="16" xfId="0" applyFont="1" applyBorder="1"/>
    <xf numFmtId="0" fontId="8" fillId="0" borderId="12" xfId="0" applyFont="1" applyBorder="1"/>
    <xf numFmtId="0" fontId="8" fillId="0" borderId="22" xfId="0" applyFont="1" applyBorder="1"/>
    <xf numFmtId="0" fontId="8" fillId="0" borderId="20" xfId="0" applyFont="1" applyBorder="1"/>
    <xf numFmtId="0" fontId="9" fillId="0" borderId="17" xfId="0" applyFont="1" applyBorder="1"/>
    <xf numFmtId="0" fontId="9" fillId="0" borderId="8" xfId="0" applyFont="1" applyBorder="1"/>
    <xf numFmtId="0" fontId="8" fillId="7" borderId="140" xfId="0" applyFont="1" applyFill="1" applyBorder="1"/>
    <xf numFmtId="0" fontId="8" fillId="7" borderId="143" xfId="0" applyFont="1" applyFill="1" applyBorder="1"/>
    <xf numFmtId="0" fontId="8" fillId="7" borderId="0" xfId="0" applyFont="1" applyFill="1" applyBorder="1"/>
    <xf numFmtId="0" fontId="8" fillId="7" borderId="0" xfId="0" applyFont="1" applyFill="1" applyBorder="1" applyAlignment="1"/>
    <xf numFmtId="0" fontId="8" fillId="7" borderId="144" xfId="0" applyFont="1" applyFill="1" applyBorder="1"/>
    <xf numFmtId="0" fontId="8" fillId="7" borderId="145" xfId="0" applyFont="1" applyFill="1" applyBorder="1"/>
    <xf numFmtId="0" fontId="8" fillId="7" borderId="133" xfId="0" applyFont="1" applyFill="1" applyBorder="1"/>
    <xf numFmtId="0" fontId="8" fillId="7" borderId="148" xfId="0" applyFont="1" applyFill="1" applyBorder="1"/>
    <xf numFmtId="0" fontId="5" fillId="7" borderId="101" xfId="0" applyFont="1" applyFill="1" applyBorder="1"/>
    <xf numFmtId="0" fontId="8" fillId="7" borderId="146" xfId="0" applyFont="1" applyFill="1" applyBorder="1"/>
    <xf numFmtId="0" fontId="3" fillId="7" borderId="133" xfId="0" applyFont="1" applyFill="1" applyBorder="1"/>
    <xf numFmtId="0" fontId="8" fillId="7" borderId="147" xfId="0" applyFont="1" applyFill="1" applyBorder="1"/>
    <xf numFmtId="0" fontId="8" fillId="7" borderId="60" xfId="0" applyFont="1" applyFill="1" applyBorder="1"/>
    <xf numFmtId="0" fontId="1" fillId="7" borderId="136" xfId="0" applyFont="1" applyFill="1" applyBorder="1"/>
    <xf numFmtId="0" fontId="8" fillId="7" borderId="137" xfId="0" applyFont="1" applyFill="1" applyBorder="1"/>
    <xf numFmtId="0" fontId="8" fillId="9" borderId="89" xfId="0" applyFont="1" applyFill="1" applyBorder="1"/>
    <xf numFmtId="0" fontId="8" fillId="0" borderId="149" xfId="0" applyFont="1" applyBorder="1" applyAlignment="1">
      <alignment horizontal="center"/>
    </xf>
    <xf numFmtId="0" fontId="9" fillId="7" borderId="0" xfId="0" applyFont="1" applyFill="1" applyAlignment="1"/>
    <xf numFmtId="0" fontId="1" fillId="0" borderId="50" xfId="0" applyFont="1" applyBorder="1"/>
    <xf numFmtId="0" fontId="1" fillId="0" borderId="0" xfId="0" applyFont="1"/>
    <xf numFmtId="0" fontId="8" fillId="6" borderId="66" xfId="0" applyFont="1" applyFill="1" applyBorder="1" applyAlignment="1"/>
    <xf numFmtId="0" fontId="8" fillId="6" borderId="142" xfId="0" applyFont="1" applyFill="1" applyBorder="1" applyAlignment="1"/>
    <xf numFmtId="0" fontId="1" fillId="0" borderId="141" xfId="0" applyFont="1" applyBorder="1" applyAlignment="1"/>
    <xf numFmtId="0" fontId="8" fillId="0" borderId="150" xfId="0" applyFont="1" applyBorder="1" applyAlignment="1"/>
    <xf numFmtId="0" fontId="8" fillId="6" borderId="151" xfId="0" applyFont="1" applyFill="1" applyBorder="1" applyAlignment="1"/>
    <xf numFmtId="0" fontId="8" fillId="6" borderId="152" xfId="0" applyFont="1" applyFill="1" applyBorder="1" applyAlignment="1"/>
    <xf numFmtId="0" fontId="8" fillId="7" borderId="0" xfId="0" applyFont="1" applyFill="1" applyBorder="1" applyAlignment="1">
      <alignment horizontal="center"/>
    </xf>
    <xf numFmtId="2" fontId="8" fillId="7" borderId="0" xfId="0" applyNumberFormat="1" applyFont="1" applyFill="1" applyBorder="1" applyAlignment="1">
      <alignment horizontal="center"/>
    </xf>
    <xf numFmtId="0" fontId="8" fillId="0" borderId="153" xfId="0" applyFont="1" applyBorder="1" applyAlignment="1">
      <alignment horizontal="center"/>
    </xf>
    <xf numFmtId="0" fontId="8" fillId="6" borderId="154" xfId="0" applyFont="1" applyFill="1" applyBorder="1" applyAlignment="1"/>
    <xf numFmtId="0" fontId="8" fillId="6" borderId="76" xfId="0" applyFont="1" applyFill="1" applyBorder="1" applyAlignment="1"/>
    <xf numFmtId="0" fontId="8" fillId="6" borderId="63" xfId="0" applyFont="1" applyFill="1" applyBorder="1" applyAlignment="1">
      <alignment horizontal="center"/>
    </xf>
    <xf numFmtId="0" fontId="8" fillId="6" borderId="155" xfId="0" applyFont="1" applyFill="1" applyBorder="1" applyAlignment="1">
      <alignment horizontal="center"/>
    </xf>
    <xf numFmtId="2" fontId="8" fillId="0" borderId="156" xfId="0" applyNumberFormat="1" applyFont="1" applyBorder="1" applyAlignment="1">
      <alignment horizontal="center"/>
    </xf>
    <xf numFmtId="0" fontId="8" fillId="0" borderId="155" xfId="0" applyFont="1" applyBorder="1"/>
    <xf numFmtId="0" fontId="8" fillId="0" borderId="157" xfId="0" applyFont="1" applyBorder="1"/>
    <xf numFmtId="0" fontId="8" fillId="0" borderId="0" xfId="0" applyFont="1" applyBorder="1"/>
    <xf numFmtId="164" fontId="8" fillId="0" borderId="0" xfId="0" applyNumberFormat="1" applyFont="1" applyBorder="1"/>
    <xf numFmtId="0" fontId="0" fillId="0" borderId="0" xfId="0" applyBorder="1"/>
    <xf numFmtId="0" fontId="1" fillId="2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</cellXfs>
  <cellStyles count="2">
    <cellStyle name="Normal" xfId="0" builtinId="0"/>
    <cellStyle name="Normal 2" xfId="1" xr:uid="{9862BBA7-4155-2549-8706-E562B003E343}"/>
  </cellStyles>
  <dxfs count="0"/>
  <tableStyles count="0" defaultTableStyle="TableStyleMedium2" defaultPivotStyle="PivotStyleLight16"/>
  <colors>
    <mruColors>
      <color rgb="FFFFE0E3"/>
      <color rgb="FFFFDADB"/>
      <color rgb="FFD883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D2-D34A-A206-10A939837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Two</c:v>
          </c:tx>
          <c:spPr>
            <a:ln w="25400" cap="rnd">
              <a:noFill/>
              <a:round/>
            </a:ln>
            <a:effectLst/>
          </c:spPr>
          <c:xVal>
            <c:numRef>
              <c:f>'Calibration Curves'!$D$20:$D$34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Curves'!$C$20:$C$34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52-E24F-B3B8-B1A7517B9DDD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52-E24F-B3B8-B1A7517B9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3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Curves'!$D$35:$D$49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Curves'!$C$35:$C$49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D0-D946-99DD-2F0338F041DD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D0-D946-99DD-2F0338F04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4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Curves'!$D$50:$D$64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Curves'!$C$50:$C$64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AE-9D41-94EE-72B96536047D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AE-9D41-94EE-72B96536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5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Curves'!$D$65:$D$79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Curves'!$C$65:$C$79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70-2446-A344-3C97F8839704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70-2446-A344-3C97F883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6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Curves'!$D$80:$D$94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Curves'!$C$80:$C$94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57-A54E-9693-E0691C54EDBC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57-A54E-9693-E0691C54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7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7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Curves'!$D$95:$D$109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Curves'!$C$95:$C$109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578-D94E-9845-CDB4D6FEABA2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578-D94E-9845-CDB4D6FEA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8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8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Curves'!$D$110:$D$124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Curves'!$C$110:$C$124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295-8743-A2D6-03E538D1148D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95-8743-A2D6-03E538D11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9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9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Curves'!$D$125:$D$139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Curves'!$C$125:$C$139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79-A54F-8840-D96A7D2E1A58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79-A54F-8840-D96A7D2E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10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Curves'!$D$140:$D$154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Curves'!$C$140:$C$154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2-CE40-BB2A-BE8906426949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42-CE40-BB2A-BE8906426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11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Curves'!$D$155:$D$169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Curves'!$C$155:$C$169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70-2447-8A60-53395EA4C181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70-2447-8A60-53395EA4C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12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Curves'!$D$170:$D$184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Curves'!$C$170:$C$184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24-E947-ACF7-8E80D660C8D4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24-E947-ACF7-8E80D660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13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Curves'!$D$185:$D$199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Curves'!$C$185:$C$199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8E-5447-8671-7A5A731C2F08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8E-5447-8671-7A5A731C2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14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Curves'!$D$200:$D$214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Curves'!$C$200:$C$214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6F-B44E-9152-FF172A0215D5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6F-B44E-9152-FF172A021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/>
              <a:t>Compound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Compound 15</c:v>
          </c:tx>
          <c:spPr>
            <a:ln w="19050" cap="rnd">
              <a:noFill/>
              <a:round/>
            </a:ln>
            <a:effectLst/>
          </c:spPr>
          <c:xVal>
            <c:numRef>
              <c:f>'Calibration Curves'!$D$215:$D$229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Curves'!$C$215:$C$229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2B-F448-B05A-20439EF869F3}"/>
            </c:ext>
          </c:extLst>
        </c:ser>
        <c:ser>
          <c:idx val="1"/>
          <c:order val="1"/>
          <c:tx>
            <c:v>Compound One</c:v>
          </c:tx>
          <c:spPr>
            <a:ln w="254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'Calibration Curves'!$D$5:$D$19</c:f>
              <c:numCache>
                <c:formatCode>General</c:formatCode>
                <c:ptCount val="15"/>
              </c:numCache>
            </c:numRef>
          </c:xVal>
          <c:yVal>
            <c:numRef>
              <c:f>'Calibration Curves'!$C$5:$C$19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2B-F448-B05A-20439EF86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2943"/>
        <c:axId val="86114591"/>
      </c:scatterChart>
      <c:valAx>
        <c:axId val="8611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mol (compound)/mol(standard)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4591"/>
        <c:crosses val="autoZero"/>
        <c:crossBetween val="midCat"/>
      </c:valAx>
      <c:valAx>
        <c:axId val="8611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/>
                  <a:t>A (compound)/A</a:t>
                </a:r>
                <a:r>
                  <a:rPr lang="en-US" baseline="0"/>
                  <a:t> (standard)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611294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14</xdr:col>
      <xdr:colOff>444500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A6967B-FB5F-824F-A734-468AF2C1A5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19</xdr:row>
      <xdr:rowOff>6350</xdr:rowOff>
    </xdr:from>
    <xdr:to>
      <xdr:col>14</xdr:col>
      <xdr:colOff>450850</xdr:colOff>
      <xdr:row>34</xdr:row>
      <xdr:rowOff>3302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9F586A-B3D5-EE43-9AAF-54B8F309B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8467</xdr:colOff>
      <xdr:row>34</xdr:row>
      <xdr:rowOff>0</xdr:rowOff>
    </xdr:from>
    <xdr:to>
      <xdr:col>14</xdr:col>
      <xdr:colOff>452967</xdr:colOff>
      <xdr:row>48</xdr:row>
      <xdr:rowOff>200152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A4DFE7-7A2E-1F47-A19B-868F53FDD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8467</xdr:colOff>
      <xdr:row>49</xdr:row>
      <xdr:rowOff>0</xdr:rowOff>
    </xdr:from>
    <xdr:to>
      <xdr:col>14</xdr:col>
      <xdr:colOff>452967</xdr:colOff>
      <xdr:row>63</xdr:row>
      <xdr:rowOff>200152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B0A744-ED3D-3946-BF9F-DFD53A3F7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6350</xdr:colOff>
      <xdr:row>64</xdr:row>
      <xdr:rowOff>6350</xdr:rowOff>
    </xdr:from>
    <xdr:to>
      <xdr:col>14</xdr:col>
      <xdr:colOff>450850</xdr:colOff>
      <xdr:row>79</xdr:row>
      <xdr:rowOff>3302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BEB0B2-B26B-504A-8D0A-1C60A6729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6350</xdr:colOff>
      <xdr:row>79</xdr:row>
      <xdr:rowOff>6350</xdr:rowOff>
    </xdr:from>
    <xdr:to>
      <xdr:col>14</xdr:col>
      <xdr:colOff>450850</xdr:colOff>
      <xdr:row>94</xdr:row>
      <xdr:rowOff>3302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8B4CD96-B201-9D44-A745-5034C6711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6350</xdr:colOff>
      <xdr:row>94</xdr:row>
      <xdr:rowOff>6350</xdr:rowOff>
    </xdr:from>
    <xdr:to>
      <xdr:col>14</xdr:col>
      <xdr:colOff>450850</xdr:colOff>
      <xdr:row>109</xdr:row>
      <xdr:rowOff>3302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960BDFE-DDE5-494C-B9C1-7B193367D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6350</xdr:colOff>
      <xdr:row>109</xdr:row>
      <xdr:rowOff>6350</xdr:rowOff>
    </xdr:from>
    <xdr:to>
      <xdr:col>14</xdr:col>
      <xdr:colOff>450850</xdr:colOff>
      <xdr:row>124</xdr:row>
      <xdr:rowOff>3302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42E3C2A-7E8D-4147-A2BC-1F24EE22F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6350</xdr:colOff>
      <xdr:row>124</xdr:row>
      <xdr:rowOff>6350</xdr:rowOff>
    </xdr:from>
    <xdr:to>
      <xdr:col>14</xdr:col>
      <xdr:colOff>450850</xdr:colOff>
      <xdr:row>139</xdr:row>
      <xdr:rowOff>3302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1ADAF9-7503-D344-AAC3-A9B2790917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6350</xdr:colOff>
      <xdr:row>139</xdr:row>
      <xdr:rowOff>6350</xdr:rowOff>
    </xdr:from>
    <xdr:to>
      <xdr:col>14</xdr:col>
      <xdr:colOff>450850</xdr:colOff>
      <xdr:row>154</xdr:row>
      <xdr:rowOff>3302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77064A5-7027-EE43-802E-F31E796C0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6350</xdr:colOff>
      <xdr:row>154</xdr:row>
      <xdr:rowOff>6350</xdr:rowOff>
    </xdr:from>
    <xdr:to>
      <xdr:col>14</xdr:col>
      <xdr:colOff>450850</xdr:colOff>
      <xdr:row>169</xdr:row>
      <xdr:rowOff>3302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42CFED5-70BF-0F46-8558-912404588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6350</xdr:colOff>
      <xdr:row>169</xdr:row>
      <xdr:rowOff>6350</xdr:rowOff>
    </xdr:from>
    <xdr:to>
      <xdr:col>14</xdr:col>
      <xdr:colOff>450850</xdr:colOff>
      <xdr:row>184</xdr:row>
      <xdr:rowOff>3302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7FCF89B-87FF-8E44-93B3-6DC506DE9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6350</xdr:colOff>
      <xdr:row>184</xdr:row>
      <xdr:rowOff>6350</xdr:rowOff>
    </xdr:from>
    <xdr:to>
      <xdr:col>14</xdr:col>
      <xdr:colOff>450850</xdr:colOff>
      <xdr:row>199</xdr:row>
      <xdr:rowOff>3302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20CF6FE-6AA0-0245-B808-2FEF96BEE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6350</xdr:colOff>
      <xdr:row>199</xdr:row>
      <xdr:rowOff>6350</xdr:rowOff>
    </xdr:from>
    <xdr:to>
      <xdr:col>14</xdr:col>
      <xdr:colOff>450850</xdr:colOff>
      <xdr:row>214</xdr:row>
      <xdr:rowOff>3302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45886A4-7181-054B-8DFD-C61F8C9DE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6350</xdr:colOff>
      <xdr:row>214</xdr:row>
      <xdr:rowOff>6350</xdr:rowOff>
    </xdr:from>
    <xdr:to>
      <xdr:col>14</xdr:col>
      <xdr:colOff>450850</xdr:colOff>
      <xdr:row>229</xdr:row>
      <xdr:rowOff>3302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6168DD6-D38C-AD4E-A68F-7D9F1D93D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4751-9DF5-144D-9310-7A0F56DADD5B}">
  <sheetPr codeName="Sheet1"/>
  <dimension ref="A1:AC62"/>
  <sheetViews>
    <sheetView tabSelected="1" zoomScale="90" zoomScaleNormal="90" workbookViewId="0">
      <selection activeCell="O12" sqref="O12"/>
    </sheetView>
  </sheetViews>
  <sheetFormatPr baseColWidth="10" defaultRowHeight="16"/>
  <cols>
    <col min="1" max="1" width="10.83203125" style="1"/>
    <col min="2" max="2" width="28.6640625" style="1" customWidth="1"/>
    <col min="3" max="3" width="10.83203125" style="1"/>
    <col min="4" max="4" width="14.1640625" style="1" bestFit="1" customWidth="1"/>
    <col min="5" max="12" width="10.83203125" style="1"/>
    <col min="13" max="13" width="11.5" style="1" customWidth="1"/>
    <col min="14" max="14" width="10.83203125" style="1"/>
    <col min="15" max="15" width="25.33203125" style="1" customWidth="1"/>
    <col min="16" max="16" width="10.83203125" style="1"/>
    <col min="17" max="29" width="10.83203125" style="103"/>
    <col min="30" max="16384" width="10.83203125" style="1"/>
  </cols>
  <sheetData>
    <row r="1" spans="1:17">
      <c r="A1" s="103"/>
      <c r="B1" s="112"/>
      <c r="C1" s="15">
        <v>11</v>
      </c>
      <c r="D1" s="15">
        <v>12</v>
      </c>
      <c r="E1" s="15">
        <v>13</v>
      </c>
      <c r="F1" s="15">
        <v>14</v>
      </c>
      <c r="G1" s="15">
        <v>15</v>
      </c>
      <c r="H1" s="15">
        <v>16</v>
      </c>
      <c r="I1" s="15">
        <v>17</v>
      </c>
      <c r="J1" s="15">
        <v>18</v>
      </c>
      <c r="K1" s="15">
        <v>19</v>
      </c>
      <c r="L1" s="15">
        <v>20</v>
      </c>
      <c r="M1" s="15">
        <v>21</v>
      </c>
      <c r="N1" s="15">
        <v>22</v>
      </c>
      <c r="O1" s="113"/>
      <c r="P1" s="114"/>
    </row>
    <row r="2" spans="1:17">
      <c r="A2" s="110"/>
      <c r="B2" s="3" t="s">
        <v>7</v>
      </c>
      <c r="C2" s="253" t="s">
        <v>14</v>
      </c>
      <c r="D2" s="253" t="s">
        <v>14</v>
      </c>
      <c r="E2" s="253" t="s">
        <v>14</v>
      </c>
      <c r="F2" s="253" t="s">
        <v>14</v>
      </c>
      <c r="G2" s="253" t="s">
        <v>14</v>
      </c>
      <c r="H2" s="253" t="s">
        <v>14</v>
      </c>
      <c r="I2" s="253" t="s">
        <v>14</v>
      </c>
      <c r="J2" s="253" t="s">
        <v>14</v>
      </c>
      <c r="K2" s="253" t="s">
        <v>14</v>
      </c>
      <c r="L2" s="253" t="s">
        <v>14</v>
      </c>
      <c r="M2" s="253" t="s">
        <v>14</v>
      </c>
      <c r="N2" s="317" t="s">
        <v>14</v>
      </c>
      <c r="O2" s="115"/>
      <c r="P2" s="103"/>
    </row>
    <row r="3" spans="1:17" ht="17" thickBot="1">
      <c r="A3" s="111"/>
      <c r="B3" s="5" t="s">
        <v>0</v>
      </c>
      <c r="C3" s="267" t="s">
        <v>113</v>
      </c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9"/>
      <c r="O3" s="30" t="s">
        <v>74</v>
      </c>
      <c r="P3" s="9"/>
      <c r="Q3" s="249" t="s">
        <v>121</v>
      </c>
    </row>
    <row r="4" spans="1:17" ht="17" thickTop="1">
      <c r="A4" s="14">
        <v>35</v>
      </c>
      <c r="B4" s="255" t="s">
        <v>14</v>
      </c>
      <c r="C4" s="260" t="s">
        <v>14</v>
      </c>
      <c r="D4" s="245" t="s">
        <v>14</v>
      </c>
      <c r="E4" s="6" t="s">
        <v>14</v>
      </c>
      <c r="F4" s="147" t="s">
        <v>14</v>
      </c>
      <c r="G4" s="146" t="s">
        <v>14</v>
      </c>
      <c r="H4" s="6" t="s">
        <v>14</v>
      </c>
      <c r="I4" s="6" t="s">
        <v>14</v>
      </c>
      <c r="J4" s="147" t="s">
        <v>14</v>
      </c>
      <c r="K4" s="146" t="s">
        <v>14</v>
      </c>
      <c r="L4" s="6" t="s">
        <v>14</v>
      </c>
      <c r="M4" s="6" t="s">
        <v>14</v>
      </c>
      <c r="N4" s="148" t="s">
        <v>14</v>
      </c>
      <c r="O4" s="254" t="s">
        <v>14</v>
      </c>
      <c r="P4" s="31">
        <v>43</v>
      </c>
      <c r="Q4" s="250" t="s">
        <v>30</v>
      </c>
    </row>
    <row r="5" spans="1:17">
      <c r="A5" s="14">
        <v>36</v>
      </c>
      <c r="B5" s="256" t="s">
        <v>14</v>
      </c>
      <c r="C5" s="149" t="s">
        <v>14</v>
      </c>
      <c r="D5" s="150" t="s">
        <v>14</v>
      </c>
      <c r="E5" s="150" t="s">
        <v>14</v>
      </c>
      <c r="F5" s="151" t="s">
        <v>14</v>
      </c>
      <c r="G5" s="149" t="s">
        <v>14</v>
      </c>
      <c r="H5" s="150" t="s">
        <v>14</v>
      </c>
      <c r="I5" s="150" t="s">
        <v>14</v>
      </c>
      <c r="J5" s="151" t="s">
        <v>14</v>
      </c>
      <c r="K5" s="149" t="s">
        <v>14</v>
      </c>
      <c r="L5" s="150" t="s">
        <v>14</v>
      </c>
      <c r="M5" s="150" t="s">
        <v>14</v>
      </c>
      <c r="N5" s="152" t="s">
        <v>14</v>
      </c>
      <c r="O5" s="254" t="s">
        <v>14</v>
      </c>
      <c r="P5" s="31">
        <v>44</v>
      </c>
      <c r="Q5" s="250" t="s">
        <v>31</v>
      </c>
    </row>
    <row r="6" spans="1:17">
      <c r="A6" s="14">
        <v>37</v>
      </c>
      <c r="B6" s="255" t="s">
        <v>14</v>
      </c>
      <c r="C6" s="8" t="s">
        <v>14</v>
      </c>
      <c r="D6" s="7" t="s">
        <v>14</v>
      </c>
      <c r="E6" s="7" t="s">
        <v>14</v>
      </c>
      <c r="F6" s="153" t="s">
        <v>14</v>
      </c>
      <c r="G6" s="8" t="s">
        <v>14</v>
      </c>
      <c r="H6" s="7" t="s">
        <v>14</v>
      </c>
      <c r="I6" s="7" t="s">
        <v>14</v>
      </c>
      <c r="J6" s="153" t="s">
        <v>14</v>
      </c>
      <c r="K6" s="8" t="s">
        <v>14</v>
      </c>
      <c r="L6" s="7" t="s">
        <v>14</v>
      </c>
      <c r="M6" s="7" t="s">
        <v>14</v>
      </c>
      <c r="N6" s="154" t="s">
        <v>14</v>
      </c>
      <c r="O6" s="254" t="s">
        <v>14</v>
      </c>
      <c r="P6" s="31">
        <v>45</v>
      </c>
      <c r="Q6" s="250" t="s">
        <v>32</v>
      </c>
    </row>
    <row r="7" spans="1:17">
      <c r="A7" s="14">
        <v>38</v>
      </c>
      <c r="B7" s="256" t="s">
        <v>14</v>
      </c>
      <c r="C7" s="149" t="s">
        <v>14</v>
      </c>
      <c r="D7" s="244" t="s">
        <v>14</v>
      </c>
      <c r="E7" s="150" t="s">
        <v>14</v>
      </c>
      <c r="F7" s="151" t="s">
        <v>14</v>
      </c>
      <c r="G7" s="149" t="s">
        <v>14</v>
      </c>
      <c r="H7" s="150" t="s">
        <v>14</v>
      </c>
      <c r="I7" s="150" t="s">
        <v>14</v>
      </c>
      <c r="J7" s="151" t="s">
        <v>14</v>
      </c>
      <c r="K7" s="149" t="s">
        <v>14</v>
      </c>
      <c r="L7" s="150" t="s">
        <v>14</v>
      </c>
      <c r="M7" s="150" t="s">
        <v>14</v>
      </c>
      <c r="N7" s="155" t="s">
        <v>14</v>
      </c>
      <c r="O7" s="254" t="s">
        <v>14</v>
      </c>
      <c r="P7" s="31">
        <v>46</v>
      </c>
      <c r="Q7" s="250" t="s">
        <v>33</v>
      </c>
    </row>
    <row r="8" spans="1:17">
      <c r="A8" s="14">
        <v>39</v>
      </c>
      <c r="B8" s="255" t="s">
        <v>14</v>
      </c>
      <c r="C8" s="8" t="s">
        <v>14</v>
      </c>
      <c r="D8" s="7" t="s">
        <v>14</v>
      </c>
      <c r="E8" s="7" t="s">
        <v>14</v>
      </c>
      <c r="F8" s="153" t="s">
        <v>14</v>
      </c>
      <c r="G8" s="8" t="s">
        <v>14</v>
      </c>
      <c r="H8" s="7" t="s">
        <v>14</v>
      </c>
      <c r="I8" s="7" t="s">
        <v>14</v>
      </c>
      <c r="J8" s="153" t="s">
        <v>14</v>
      </c>
      <c r="K8" s="8" t="s">
        <v>14</v>
      </c>
      <c r="L8" s="7" t="s">
        <v>14</v>
      </c>
      <c r="M8" s="7" t="s">
        <v>14</v>
      </c>
      <c r="N8" s="156" t="s">
        <v>14</v>
      </c>
      <c r="O8" s="254" t="s">
        <v>14</v>
      </c>
      <c r="P8" s="31">
        <v>47</v>
      </c>
      <c r="Q8" s="250" t="s">
        <v>34</v>
      </c>
    </row>
    <row r="9" spans="1:17">
      <c r="A9" s="14">
        <v>40</v>
      </c>
      <c r="B9" s="256" t="s">
        <v>14</v>
      </c>
      <c r="C9" s="149" t="s">
        <v>14</v>
      </c>
      <c r="D9" s="150" t="s">
        <v>14</v>
      </c>
      <c r="E9" s="150" t="s">
        <v>14</v>
      </c>
      <c r="F9" s="151" t="s">
        <v>14</v>
      </c>
      <c r="G9" s="149" t="s">
        <v>14</v>
      </c>
      <c r="H9" s="150" t="s">
        <v>14</v>
      </c>
      <c r="I9" s="150" t="s">
        <v>14</v>
      </c>
      <c r="J9" s="151" t="s">
        <v>14</v>
      </c>
      <c r="K9" s="149" t="s">
        <v>14</v>
      </c>
      <c r="L9" s="150" t="s">
        <v>14</v>
      </c>
      <c r="M9" s="150" t="s">
        <v>14</v>
      </c>
      <c r="N9" s="152" t="s">
        <v>14</v>
      </c>
      <c r="O9" s="254" t="s">
        <v>14</v>
      </c>
      <c r="P9" s="31">
        <v>48</v>
      </c>
      <c r="Q9" s="250" t="s">
        <v>35</v>
      </c>
    </row>
    <row r="10" spans="1:17">
      <c r="A10" s="14">
        <v>41</v>
      </c>
      <c r="B10" s="255" t="s">
        <v>14</v>
      </c>
      <c r="C10" s="8" t="s">
        <v>14</v>
      </c>
      <c r="D10" s="7" t="s">
        <v>14</v>
      </c>
      <c r="E10" s="7" t="s">
        <v>14</v>
      </c>
      <c r="F10" s="153" t="s">
        <v>14</v>
      </c>
      <c r="G10" s="8" t="s">
        <v>14</v>
      </c>
      <c r="H10" s="7" t="s">
        <v>14</v>
      </c>
      <c r="I10" s="7" t="s">
        <v>14</v>
      </c>
      <c r="J10" s="153" t="s">
        <v>14</v>
      </c>
      <c r="K10" s="8" t="s">
        <v>14</v>
      </c>
      <c r="L10" s="7" t="s">
        <v>14</v>
      </c>
      <c r="M10" s="7" t="s">
        <v>14</v>
      </c>
      <c r="N10" s="154" t="s">
        <v>14</v>
      </c>
      <c r="O10" s="254" t="s">
        <v>14</v>
      </c>
      <c r="P10" s="31">
        <v>49</v>
      </c>
      <c r="Q10" s="250" t="s">
        <v>36</v>
      </c>
    </row>
    <row r="11" spans="1:17" ht="17" thickBot="1">
      <c r="A11" s="14">
        <v>42</v>
      </c>
      <c r="B11" s="256" t="s">
        <v>14</v>
      </c>
      <c r="C11" s="157" t="s">
        <v>14</v>
      </c>
      <c r="D11" s="158" t="s">
        <v>14</v>
      </c>
      <c r="E11" s="158" t="s">
        <v>14</v>
      </c>
      <c r="F11" s="159" t="s">
        <v>14</v>
      </c>
      <c r="G11" s="160" t="s">
        <v>14</v>
      </c>
      <c r="H11" s="158" t="s">
        <v>14</v>
      </c>
      <c r="I11" s="158" t="s">
        <v>14</v>
      </c>
      <c r="J11" s="159" t="s">
        <v>14</v>
      </c>
      <c r="K11" s="160" t="s">
        <v>14</v>
      </c>
      <c r="L11" s="158" t="s">
        <v>14</v>
      </c>
      <c r="M11" s="158" t="s">
        <v>14</v>
      </c>
      <c r="N11" s="246" t="s">
        <v>14</v>
      </c>
      <c r="O11" s="318" t="s">
        <v>14</v>
      </c>
      <c r="P11" s="31">
        <v>50</v>
      </c>
      <c r="Q11" s="250" t="s">
        <v>37</v>
      </c>
    </row>
    <row r="12" spans="1:17" ht="17" thickTop="1">
      <c r="A12" s="116"/>
      <c r="B12" s="29" t="s">
        <v>75</v>
      </c>
      <c r="C12" s="257" t="s">
        <v>14</v>
      </c>
      <c r="D12" s="257" t="s">
        <v>14</v>
      </c>
      <c r="E12" s="257" t="s">
        <v>14</v>
      </c>
      <c r="F12" s="257" t="s">
        <v>14</v>
      </c>
      <c r="G12" s="257" t="s">
        <v>14</v>
      </c>
      <c r="H12" s="257" t="s">
        <v>14</v>
      </c>
      <c r="I12" s="257" t="s">
        <v>14</v>
      </c>
      <c r="J12" s="257" t="s">
        <v>14</v>
      </c>
      <c r="K12" s="257" t="s">
        <v>14</v>
      </c>
      <c r="L12" s="257" t="s">
        <v>14</v>
      </c>
      <c r="M12" s="257" t="s">
        <v>14</v>
      </c>
      <c r="N12" s="257" t="s">
        <v>14</v>
      </c>
      <c r="O12" s="104"/>
      <c r="P12" s="118"/>
    </row>
    <row r="13" spans="1:17">
      <c r="A13" s="103"/>
      <c r="B13" s="258"/>
      <c r="C13" s="33">
        <v>23</v>
      </c>
      <c r="D13" s="33">
        <v>24</v>
      </c>
      <c r="E13" s="33">
        <v>25</v>
      </c>
      <c r="F13" s="33">
        <v>26</v>
      </c>
      <c r="G13" s="33">
        <v>27</v>
      </c>
      <c r="H13" s="33">
        <v>28</v>
      </c>
      <c r="I13" s="33">
        <v>29</v>
      </c>
      <c r="J13" s="33">
        <v>30</v>
      </c>
      <c r="K13" s="33">
        <v>31</v>
      </c>
      <c r="L13" s="33">
        <v>32</v>
      </c>
      <c r="M13" s="33">
        <v>33</v>
      </c>
      <c r="N13" s="33">
        <v>34</v>
      </c>
      <c r="O13" s="103"/>
      <c r="P13" s="103"/>
    </row>
    <row r="14" spans="1:17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</row>
    <row r="15" spans="1:17" ht="17" thickBot="1">
      <c r="A15" s="103"/>
      <c r="B15" s="102" t="s">
        <v>42</v>
      </c>
      <c r="C15" s="103"/>
      <c r="D15" s="103"/>
      <c r="E15" s="103"/>
      <c r="F15" s="143" t="s">
        <v>71</v>
      </c>
      <c r="G15" s="103"/>
      <c r="H15" s="295"/>
      <c r="I15" s="103"/>
      <c r="J15" s="271" t="s">
        <v>40</v>
      </c>
      <c r="K15" s="271"/>
      <c r="L15" s="271"/>
      <c r="M15" s="271"/>
      <c r="N15" s="271"/>
      <c r="O15" s="271"/>
      <c r="P15" s="102" t="s">
        <v>58</v>
      </c>
      <c r="Q15" s="221"/>
    </row>
    <row r="16" spans="1:17" ht="17" thickBot="1">
      <c r="A16" s="117"/>
      <c r="B16" s="275" t="s">
        <v>100</v>
      </c>
      <c r="C16" s="274"/>
      <c r="D16" s="42">
        <v>100</v>
      </c>
      <c r="E16" s="279"/>
      <c r="F16" s="286" t="s">
        <v>120</v>
      </c>
      <c r="G16" s="287"/>
      <c r="H16" s="144"/>
      <c r="I16" s="103"/>
      <c r="J16" s="218" t="s">
        <v>41</v>
      </c>
      <c r="K16" s="301" t="s">
        <v>5</v>
      </c>
      <c r="L16" s="300" t="s">
        <v>133</v>
      </c>
      <c r="M16" s="251" t="s">
        <v>122</v>
      </c>
      <c r="N16" s="219" t="s">
        <v>43</v>
      </c>
      <c r="O16" s="38" t="s">
        <v>109</v>
      </c>
      <c r="P16" s="39" t="s">
        <v>48</v>
      </c>
      <c r="Q16" s="222" t="s">
        <v>115</v>
      </c>
    </row>
    <row r="17" spans="1:17">
      <c r="A17" s="117"/>
      <c r="B17" s="261" t="s">
        <v>101</v>
      </c>
      <c r="C17" s="262"/>
      <c r="D17" s="43">
        <v>300</v>
      </c>
      <c r="E17" s="282"/>
      <c r="F17" s="288" t="s">
        <v>127</v>
      </c>
      <c r="G17" s="142"/>
      <c r="H17" s="145" t="s">
        <v>134</v>
      </c>
      <c r="I17" s="117"/>
      <c r="J17" s="19" t="s">
        <v>52</v>
      </c>
      <c r="K17" s="302"/>
      <c r="L17" s="299"/>
      <c r="M17" s="248"/>
      <c r="N17" s="40"/>
      <c r="O17" s="185">
        <f>N17*$D$24</f>
        <v>0</v>
      </c>
      <c r="P17" s="7"/>
      <c r="Q17" s="223"/>
    </row>
    <row r="18" spans="1:17">
      <c r="A18" s="117"/>
      <c r="B18" s="272" t="s">
        <v>102</v>
      </c>
      <c r="C18" s="273"/>
      <c r="D18" s="44">
        <v>25</v>
      </c>
      <c r="E18" s="282"/>
      <c r="F18" s="288" t="s">
        <v>128</v>
      </c>
      <c r="G18" s="289"/>
      <c r="H18" s="145">
        <v>500</v>
      </c>
      <c r="I18" s="117"/>
      <c r="J18" s="37">
        <v>1</v>
      </c>
      <c r="K18" s="303"/>
      <c r="L18" s="298"/>
      <c r="M18" s="247"/>
      <c r="N18" s="41"/>
      <c r="O18" s="185">
        <f t="shared" ref="O18:O32" si="0">N18*$D$24</f>
        <v>0</v>
      </c>
      <c r="P18" s="4" t="e">
        <f>SLOPE('Calibration Curves'!$C$5:$C$19,'Calibration Curves'!$D$5:$D$19)</f>
        <v>#DIV/0!</v>
      </c>
      <c r="Q18" s="224" t="e">
        <f>RSQ('Calibration Curves'!$C$5:$C$19,'Calibration Curves'!$D$5:$D$19)</f>
        <v>#DIV/0!</v>
      </c>
    </row>
    <row r="19" spans="1:17">
      <c r="A19" s="117"/>
      <c r="B19" s="270" t="s">
        <v>103</v>
      </c>
      <c r="C19" s="262"/>
      <c r="D19" s="45">
        <v>600</v>
      </c>
      <c r="E19" s="282"/>
      <c r="F19" s="284" t="s">
        <v>77</v>
      </c>
      <c r="G19" s="278"/>
      <c r="H19" s="145">
        <v>24</v>
      </c>
      <c r="I19" s="117"/>
      <c r="J19" s="37">
        <v>2</v>
      </c>
      <c r="K19" s="303"/>
      <c r="L19" s="298"/>
      <c r="M19" s="247"/>
      <c r="N19" s="41"/>
      <c r="O19" s="185">
        <f t="shared" si="0"/>
        <v>0</v>
      </c>
      <c r="P19" s="4" t="e">
        <f>SLOPE('Calibration Curves'!$C$20:$C$34,'Calibration Curves'!$D$20:$D$34)</f>
        <v>#DIV/0!</v>
      </c>
      <c r="Q19" s="224" t="e">
        <f>RSQ('Calibration Curves'!$C$20:$C$34,'Calibration Curves'!$D$20:$D$34)</f>
        <v>#DIV/0!</v>
      </c>
    </row>
    <row r="20" spans="1:17">
      <c r="A20" s="117"/>
      <c r="B20" s="263" t="s">
        <v>104</v>
      </c>
      <c r="C20" s="264"/>
      <c r="D20" s="180">
        <v>0</v>
      </c>
      <c r="E20" s="119"/>
      <c r="F20" s="284" t="s">
        <v>79</v>
      </c>
      <c r="G20" s="278"/>
      <c r="H20" s="145">
        <v>25</v>
      </c>
      <c r="I20" s="117"/>
      <c r="J20" s="37">
        <v>3</v>
      </c>
      <c r="K20" s="303"/>
      <c r="L20" s="298"/>
      <c r="M20" s="247"/>
      <c r="N20" s="41"/>
      <c r="O20" s="185">
        <f t="shared" si="0"/>
        <v>0</v>
      </c>
      <c r="P20" s="4" t="e">
        <f>SLOPE('Calibration Curves'!$C$35:$C$49,'Calibration Curves'!$D$35:$D$49)</f>
        <v>#DIV/0!</v>
      </c>
      <c r="Q20" s="224" t="e">
        <f>RSQ('Calibration Curves'!$C$35:$C$49,'Calibration Curves'!$D$35:$D$49)</f>
        <v>#DIV/0!</v>
      </c>
    </row>
    <row r="21" spans="1:17">
      <c r="A21" s="119"/>
      <c r="B21" s="265" t="s">
        <v>105</v>
      </c>
      <c r="C21" s="266"/>
      <c r="D21" s="181">
        <v>0</v>
      </c>
      <c r="E21" s="119"/>
      <c r="F21" s="285" t="s">
        <v>76</v>
      </c>
      <c r="G21" s="278"/>
      <c r="H21" s="172" t="b">
        <v>1</v>
      </c>
      <c r="I21" s="117"/>
      <c r="J21" s="37">
        <v>4</v>
      </c>
      <c r="K21" s="303"/>
      <c r="L21" s="298"/>
      <c r="M21" s="247"/>
      <c r="N21" s="41"/>
      <c r="O21" s="185">
        <f t="shared" si="0"/>
        <v>0</v>
      </c>
      <c r="P21" s="4" t="e">
        <f>SLOPE('Calibration Curves'!$C$50:$C$64,'Calibration Curves'!$D$50:$D$64)</f>
        <v>#DIV/0!</v>
      </c>
      <c r="Q21" s="224" t="e">
        <f>RSQ('Calibration Curves'!$C$50:$C$64,'Calibration Curves'!$D$50:$D$64)</f>
        <v>#DIV/0!</v>
      </c>
    </row>
    <row r="22" spans="1:17" ht="17" customHeight="1">
      <c r="A22" s="119"/>
      <c r="B22" s="272" t="s">
        <v>106</v>
      </c>
      <c r="C22" s="273"/>
      <c r="D22" s="46">
        <v>5</v>
      </c>
      <c r="E22" s="119"/>
      <c r="F22" s="285" t="s">
        <v>99</v>
      </c>
      <c r="G22" s="278"/>
      <c r="H22" s="173"/>
      <c r="I22" s="117"/>
      <c r="J22" s="37">
        <v>5</v>
      </c>
      <c r="K22" s="303"/>
      <c r="L22" s="298"/>
      <c r="M22" s="247"/>
      <c r="N22" s="41"/>
      <c r="O22" s="185">
        <f t="shared" si="0"/>
        <v>0</v>
      </c>
      <c r="P22" s="4" t="e">
        <f>SLOPE('Calibration Curves'!$C$65:$C$79,'Calibration Curves'!$D$65:$D$79)</f>
        <v>#DIV/0!</v>
      </c>
      <c r="Q22" s="224" t="e">
        <f>RSQ('Calibration Curves'!$C$65:$C$79,'Calibration Curves'!$D$65:$D$79)</f>
        <v>#DIV/0!</v>
      </c>
    </row>
    <row r="23" spans="1:17">
      <c r="A23" s="119"/>
      <c r="B23" s="261" t="s">
        <v>107</v>
      </c>
      <c r="C23" s="262"/>
      <c r="D23" s="184">
        <v>5</v>
      </c>
      <c r="E23" s="283"/>
      <c r="F23" s="142" t="s">
        <v>110</v>
      </c>
      <c r="G23" s="290"/>
      <c r="H23" s="145" t="b">
        <f>IF(K17=0, FALSE, TRUE)</f>
        <v>0</v>
      </c>
      <c r="I23" s="117"/>
      <c r="J23" s="37">
        <v>6</v>
      </c>
      <c r="K23" s="303"/>
      <c r="L23" s="298"/>
      <c r="M23" s="247"/>
      <c r="N23" s="41"/>
      <c r="O23" s="185">
        <f t="shared" si="0"/>
        <v>0</v>
      </c>
      <c r="P23" s="4" t="e">
        <f>SLOPE('Calibration Curves'!$C$80:$C$94,'Calibration Curves'!$D$80:$D$94)</f>
        <v>#DIV/0!</v>
      </c>
      <c r="Q23" s="224" t="e">
        <f>RSQ('Calibration Curves'!$C$80:$C$94,'Calibration Curves'!$D$80:$D$94)</f>
        <v>#DIV/0!</v>
      </c>
    </row>
    <row r="24" spans="1:17" ht="17" thickBot="1">
      <c r="A24" s="119"/>
      <c r="B24" s="182" t="s">
        <v>108</v>
      </c>
      <c r="C24" s="183"/>
      <c r="D24" s="186">
        <f>IF($D$20=0, (D18/D17)/D19*(D23/D22)*1000, (D18*D20/D17)/D19/D21*(D23/D22)*1000)</f>
        <v>0.1388888888888889</v>
      </c>
      <c r="E24" s="283"/>
      <c r="F24" s="291" t="s">
        <v>132</v>
      </c>
      <c r="G24" s="292"/>
      <c r="H24" s="293">
        <v>10</v>
      </c>
      <c r="I24" s="117"/>
      <c r="J24" s="306">
        <v>7</v>
      </c>
      <c r="K24" s="307"/>
      <c r="L24" s="308"/>
      <c r="M24" s="309"/>
      <c r="N24" s="310"/>
      <c r="O24" s="311">
        <f t="shared" si="0"/>
        <v>0</v>
      </c>
      <c r="P24" s="312" t="e">
        <f>SLOPE('Calibration Curves'!$C$95:$C$109,'Calibration Curves'!$D$95:$D$109)</f>
        <v>#DIV/0!</v>
      </c>
      <c r="Q24" s="313" t="e">
        <f>RSQ('Calibration Curves'!$C$95:$C$109,'Calibration Curves'!$D$95:$D$109)</f>
        <v>#DIV/0!</v>
      </c>
    </row>
    <row r="25" spans="1:17">
      <c r="A25" s="103"/>
      <c r="C25" s="103"/>
      <c r="D25" s="103"/>
      <c r="E25" s="103"/>
      <c r="F25" s="280"/>
      <c r="G25" s="280"/>
      <c r="H25" s="280"/>
      <c r="I25" s="280"/>
      <c r="J25" s="304"/>
      <c r="K25" s="281"/>
      <c r="L25" s="281"/>
      <c r="M25" s="304"/>
      <c r="N25" s="304"/>
      <c r="O25" s="305"/>
      <c r="P25" s="280"/>
      <c r="Q25" s="280"/>
    </row>
    <row r="26" spans="1:17">
      <c r="A26" s="280"/>
      <c r="B26" s="280"/>
      <c r="C26" s="280"/>
      <c r="D26" s="280"/>
      <c r="E26" s="103"/>
      <c r="F26" s="252"/>
      <c r="G26" s="252"/>
      <c r="H26" s="252"/>
      <c r="I26" s="280"/>
      <c r="J26" s="304"/>
      <c r="K26" s="281"/>
      <c r="L26" s="281"/>
      <c r="M26" s="304"/>
      <c r="N26" s="304"/>
      <c r="O26" s="305"/>
      <c r="P26" s="280"/>
      <c r="Q26" s="280"/>
    </row>
    <row r="27" spans="1:17">
      <c r="A27" s="280"/>
      <c r="B27" s="280"/>
      <c r="C27" s="280"/>
      <c r="D27" s="280"/>
      <c r="E27" s="103"/>
      <c r="F27" s="252"/>
      <c r="G27" s="252"/>
      <c r="H27" s="252"/>
      <c r="I27" s="280"/>
      <c r="J27" s="304"/>
      <c r="K27" s="281"/>
      <c r="L27" s="281"/>
      <c r="M27" s="304"/>
      <c r="N27" s="304"/>
      <c r="O27" s="305"/>
      <c r="P27" s="280"/>
      <c r="Q27" s="280"/>
    </row>
    <row r="28" spans="1:17">
      <c r="A28" s="280"/>
      <c r="B28" s="280"/>
      <c r="C28" s="280"/>
      <c r="D28" s="280"/>
      <c r="E28" s="103"/>
      <c r="F28" s="103"/>
      <c r="G28" s="103"/>
      <c r="H28" s="103"/>
      <c r="I28" s="280"/>
      <c r="J28" s="304"/>
      <c r="K28" s="281"/>
      <c r="L28" s="281"/>
      <c r="M28" s="304"/>
      <c r="N28" s="304"/>
      <c r="O28" s="305"/>
      <c r="P28" s="280"/>
      <c r="Q28" s="280"/>
    </row>
    <row r="29" spans="1:17">
      <c r="A29" s="280"/>
      <c r="B29" s="280"/>
      <c r="C29" s="280"/>
      <c r="D29" s="280"/>
      <c r="E29" s="103"/>
      <c r="F29" s="103"/>
      <c r="G29" s="103"/>
      <c r="H29" s="103"/>
      <c r="I29" s="280"/>
      <c r="J29" s="304"/>
      <c r="K29" s="281"/>
      <c r="L29" s="281"/>
      <c r="M29" s="304"/>
      <c r="N29" s="304"/>
      <c r="O29" s="305"/>
      <c r="P29" s="280"/>
      <c r="Q29" s="280"/>
    </row>
    <row r="30" spans="1:17">
      <c r="A30" s="280"/>
      <c r="B30" s="280"/>
      <c r="C30" s="280"/>
      <c r="D30" s="280"/>
      <c r="E30" s="103"/>
      <c r="F30" s="103"/>
      <c r="G30" s="103"/>
      <c r="H30" s="103"/>
      <c r="I30" s="280"/>
      <c r="J30" s="304"/>
      <c r="K30" s="281"/>
      <c r="L30" s="281"/>
      <c r="M30" s="304"/>
      <c r="N30" s="304"/>
      <c r="O30" s="305"/>
      <c r="P30" s="280"/>
      <c r="Q30" s="280"/>
    </row>
    <row r="31" spans="1:17">
      <c r="A31" s="280"/>
      <c r="B31" s="280"/>
      <c r="C31" s="280"/>
      <c r="D31" s="280"/>
      <c r="E31" s="103"/>
      <c r="F31" s="103"/>
      <c r="G31" s="103"/>
      <c r="H31" s="103"/>
      <c r="I31" s="280"/>
      <c r="J31" s="304"/>
      <c r="K31" s="281"/>
      <c r="L31" s="281"/>
      <c r="M31" s="304"/>
      <c r="N31" s="304"/>
      <c r="O31" s="305"/>
      <c r="P31" s="280"/>
      <c r="Q31" s="280"/>
    </row>
    <row r="32" spans="1:17">
      <c r="A32" s="280"/>
      <c r="B32" s="280"/>
      <c r="C32" s="280"/>
      <c r="D32" s="280"/>
      <c r="E32" s="103"/>
      <c r="F32" s="103"/>
      <c r="G32" s="103"/>
      <c r="H32" s="103"/>
      <c r="I32" s="280"/>
      <c r="J32" s="304"/>
      <c r="K32" s="281"/>
      <c r="L32" s="281"/>
      <c r="M32" s="304"/>
      <c r="N32" s="304"/>
      <c r="O32" s="305"/>
      <c r="P32" s="280"/>
      <c r="Q32" s="280"/>
    </row>
    <row r="33" spans="1:16" ht="17" customHeight="1">
      <c r="A33" s="280"/>
      <c r="B33" s="280"/>
      <c r="C33" s="280"/>
      <c r="D33" s="280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280"/>
      <c r="P33" s="103"/>
    </row>
    <row r="34" spans="1:16">
      <c r="A34" s="280"/>
      <c r="B34" s="280"/>
      <c r="C34" s="280"/>
      <c r="D34" s="280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</row>
    <row r="35" spans="1:16" s="103" customFormat="1">
      <c r="A35" s="280"/>
      <c r="B35" s="280"/>
      <c r="C35" s="280"/>
      <c r="D35" s="280"/>
    </row>
    <row r="36" spans="1:16" s="103" customFormat="1"/>
    <row r="37" spans="1:16" s="103" customFormat="1"/>
    <row r="38" spans="1:16" s="103" customFormat="1"/>
    <row r="39" spans="1:16" s="103" customFormat="1"/>
    <row r="40" spans="1:16" s="103" customFormat="1"/>
    <row r="41" spans="1:16" s="103" customFormat="1"/>
    <row r="42" spans="1:16" s="103" customFormat="1"/>
    <row r="43" spans="1:16" s="103" customFormat="1"/>
    <row r="44" spans="1:16" s="103" customFormat="1"/>
    <row r="45" spans="1:16" s="103" customFormat="1"/>
    <row r="46" spans="1:16" s="103" customFormat="1"/>
    <row r="47" spans="1:16" s="103" customFormat="1"/>
    <row r="48" spans="1:16" s="103" customFormat="1"/>
    <row r="49" s="103" customFormat="1"/>
    <row r="50" s="103" customFormat="1"/>
    <row r="51" s="103" customFormat="1"/>
    <row r="52" s="103" customFormat="1"/>
    <row r="53" s="103" customFormat="1"/>
    <row r="54" s="103" customFormat="1"/>
    <row r="55" s="103" customFormat="1"/>
    <row r="56" s="103" customFormat="1"/>
    <row r="57" s="103" customFormat="1"/>
    <row r="58" s="103" customFormat="1"/>
    <row r="59" s="103" customFormat="1"/>
    <row r="60" s="103" customFormat="1"/>
    <row r="61" s="103" customFormat="1"/>
    <row r="62" s="103" customFormat="1"/>
  </sheetData>
  <mergeCells count="10">
    <mergeCell ref="C3:N3"/>
    <mergeCell ref="B19:C19"/>
    <mergeCell ref="J15:O15"/>
    <mergeCell ref="B22:C22"/>
    <mergeCell ref="B16:C16"/>
    <mergeCell ref="B17:C17"/>
    <mergeCell ref="B18:C18"/>
    <mergeCell ref="B23:C23"/>
    <mergeCell ref="B20:C20"/>
    <mergeCell ref="B21:C21"/>
  </mergeCells>
  <phoneticPr fontId="7" type="noConversion"/>
  <dataValidations disablePrompts="1" count="1">
    <dataValidation type="list" allowBlank="1" showInputMessage="1" showErrorMessage="1" sqref="H17" xr:uid="{70AB0506-1C07-804D-805A-AEA2B788CDF1}">
      <formula1>"LC-MS, GC-MS, GC-FID, SFC-MS, TLC, NMR, other"</formula1>
    </dataValidation>
  </dataValidation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2D448-7B6B-5541-90CD-8188FA4B9EDA}">
  <dimension ref="A1:AE78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6"/>
  <cols>
    <col min="1" max="1" width="11" style="60" customWidth="1"/>
    <col min="2" max="2" width="7.5" style="62" customWidth="1"/>
    <col min="3" max="3" width="25.33203125" style="62" customWidth="1"/>
    <col min="4" max="4" width="9.33203125" style="62" customWidth="1"/>
    <col min="5" max="5" width="6.1640625" style="62" customWidth="1"/>
    <col min="6" max="6" width="10.83203125" style="61"/>
    <col min="7" max="7" width="16.33203125" style="61" customWidth="1"/>
    <col min="8" max="8" width="17" style="61" customWidth="1"/>
    <col min="9" max="9" width="17.83203125" style="61" customWidth="1"/>
    <col min="10" max="10" width="22.83203125" style="61" customWidth="1"/>
    <col min="11" max="11" width="22.83203125" style="63" customWidth="1"/>
    <col min="12" max="12" width="20.33203125" style="61" customWidth="1"/>
    <col min="13" max="13" width="10.6640625" style="242" customWidth="1"/>
    <col min="14" max="14" width="18" style="103" customWidth="1"/>
    <col min="15" max="15" width="10.83203125" style="103"/>
    <col min="16" max="16" width="32.83203125" style="103" customWidth="1"/>
    <col min="17" max="19" width="10.83203125" style="103"/>
    <col min="20" max="31" width="10.83203125" style="1"/>
    <col min="32" max="16384" width="10.83203125" style="62"/>
  </cols>
  <sheetData>
    <row r="1" spans="1:31" s="60" customFormat="1">
      <c r="A1" s="60" t="s">
        <v>1</v>
      </c>
      <c r="B1" s="60" t="s">
        <v>20</v>
      </c>
      <c r="C1" s="72" t="s">
        <v>5</v>
      </c>
      <c r="D1" s="106" t="s">
        <v>133</v>
      </c>
      <c r="E1" s="107" t="s">
        <v>9</v>
      </c>
      <c r="F1" s="108" t="s">
        <v>6</v>
      </c>
      <c r="G1" s="108" t="s">
        <v>59</v>
      </c>
      <c r="H1" s="194" t="s">
        <v>12</v>
      </c>
      <c r="I1" s="195" t="s">
        <v>111</v>
      </c>
      <c r="J1" s="190" t="s">
        <v>13</v>
      </c>
      <c r="K1" s="161" t="s">
        <v>60</v>
      </c>
      <c r="L1" s="69" t="s">
        <v>15</v>
      </c>
      <c r="M1" s="236" t="s">
        <v>90</v>
      </c>
      <c r="N1" s="177" t="s">
        <v>89</v>
      </c>
      <c r="O1" s="102"/>
      <c r="P1" s="102"/>
      <c r="Q1" s="102"/>
      <c r="R1" s="102"/>
      <c r="S1" s="102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>
      <c r="A2" s="60" t="s">
        <v>10</v>
      </c>
      <c r="B2" s="61">
        <v>1</v>
      </c>
      <c r="C2" s="73" t="s">
        <v>14</v>
      </c>
      <c r="D2" s="296"/>
      <c r="H2" s="193"/>
      <c r="I2" s="196"/>
      <c r="J2" s="187">
        <f>G2*reaction_scale/100</f>
        <v>0</v>
      </c>
      <c r="K2" s="162" t="str">
        <f>IF(J2=0, "-",J2*F2/1000)</f>
        <v>-</v>
      </c>
      <c r="L2" s="70" t="str">
        <f>IFERROR(IF(I2=0, K2/H2, J2/I2), "-")</f>
        <v>-</v>
      </c>
      <c r="M2" s="243"/>
      <c r="N2" s="174"/>
    </row>
    <row r="3" spans="1:31">
      <c r="A3" s="60" t="s">
        <v>114</v>
      </c>
      <c r="B3" s="61">
        <v>2</v>
      </c>
      <c r="C3" s="73" t="s">
        <v>14</v>
      </c>
      <c r="D3" s="71"/>
      <c r="H3" s="193"/>
      <c r="I3" s="196"/>
      <c r="J3" s="187">
        <f>G3*reaction_scale/100</f>
        <v>0</v>
      </c>
      <c r="K3" s="162" t="str">
        <f>IF(J3=0, "-",J3*F3/1000)</f>
        <v>-</v>
      </c>
      <c r="L3" s="70" t="str">
        <f t="shared" ref="L3:L51" si="0">IFERROR(IF(I3=0, K3/H3, J3/I3), "-")</f>
        <v>-</v>
      </c>
      <c r="M3" s="237"/>
      <c r="N3" s="174"/>
    </row>
    <row r="4" spans="1:31">
      <c r="B4" s="61">
        <v>3</v>
      </c>
      <c r="C4" s="73" t="s">
        <v>14</v>
      </c>
      <c r="D4" s="71"/>
      <c r="H4" s="193"/>
      <c r="I4" s="196"/>
      <c r="J4" s="187">
        <f>G4*reaction_scale/100</f>
        <v>0</v>
      </c>
      <c r="K4" s="162" t="str">
        <f t="shared" ref="K4:K51" si="1">IF(J4=0, "-",J4*F4/1000)</f>
        <v>-</v>
      </c>
      <c r="L4" s="70" t="str">
        <f t="shared" si="0"/>
        <v>-</v>
      </c>
      <c r="M4" s="237"/>
      <c r="N4" s="174"/>
    </row>
    <row r="5" spans="1:31">
      <c r="B5" s="61">
        <v>4</v>
      </c>
      <c r="C5" s="73" t="s">
        <v>14</v>
      </c>
      <c r="D5" s="71"/>
      <c r="H5" s="193"/>
      <c r="I5" s="196"/>
      <c r="J5" s="187">
        <f>G5*reaction_scale/100</f>
        <v>0</v>
      </c>
      <c r="K5" s="162" t="str">
        <f t="shared" si="1"/>
        <v>-</v>
      </c>
      <c r="L5" s="70" t="str">
        <f t="shared" si="0"/>
        <v>-</v>
      </c>
      <c r="M5" s="237"/>
      <c r="N5" s="174"/>
    </row>
    <row r="6" spans="1:31">
      <c r="B6" s="61">
        <v>5</v>
      </c>
      <c r="C6" s="73" t="s">
        <v>14</v>
      </c>
      <c r="D6" s="71"/>
      <c r="H6" s="193"/>
      <c r="I6" s="196"/>
      <c r="J6" s="187">
        <f>G6*reaction_scale/100</f>
        <v>0</v>
      </c>
      <c r="K6" s="162" t="str">
        <f t="shared" si="1"/>
        <v>-</v>
      </c>
      <c r="L6" s="70" t="str">
        <f t="shared" si="0"/>
        <v>-</v>
      </c>
      <c r="M6" s="237"/>
      <c r="N6" s="174"/>
    </row>
    <row r="7" spans="1:31">
      <c r="B7" s="61">
        <v>6</v>
      </c>
      <c r="C7" s="73" t="s">
        <v>14</v>
      </c>
      <c r="D7" s="71"/>
      <c r="H7" s="193"/>
      <c r="I7" s="196"/>
      <c r="J7" s="187">
        <f>G7*reaction_scale/100</f>
        <v>0</v>
      </c>
      <c r="K7" s="162" t="str">
        <f t="shared" si="1"/>
        <v>-</v>
      </c>
      <c r="L7" s="70" t="str">
        <f t="shared" si="0"/>
        <v>-</v>
      </c>
      <c r="M7" s="237"/>
      <c r="N7" s="174"/>
    </row>
    <row r="8" spans="1:31">
      <c r="B8" s="61">
        <v>7</v>
      </c>
      <c r="C8" s="73" t="s">
        <v>14</v>
      </c>
      <c r="D8" s="71"/>
      <c r="H8" s="193"/>
      <c r="I8" s="196"/>
      <c r="J8" s="187">
        <f>G8*reaction_scale/100</f>
        <v>0</v>
      </c>
      <c r="K8" s="162" t="str">
        <f t="shared" si="1"/>
        <v>-</v>
      </c>
      <c r="L8" s="70" t="str">
        <f t="shared" si="0"/>
        <v>-</v>
      </c>
      <c r="M8" s="237"/>
      <c r="N8" s="174"/>
    </row>
    <row r="9" spans="1:31">
      <c r="B9" s="61">
        <v>8</v>
      </c>
      <c r="C9" s="73" t="s">
        <v>14</v>
      </c>
      <c r="D9" s="71"/>
      <c r="H9" s="193"/>
      <c r="I9" s="196"/>
      <c r="J9" s="187">
        <f>G9*reaction_scale/100</f>
        <v>0</v>
      </c>
      <c r="K9" s="162" t="str">
        <f t="shared" si="1"/>
        <v>-</v>
      </c>
      <c r="L9" s="70" t="str">
        <f t="shared" si="0"/>
        <v>-</v>
      </c>
      <c r="M9" s="237"/>
      <c r="N9" s="174"/>
    </row>
    <row r="10" spans="1:31">
      <c r="B10" s="61">
        <v>9</v>
      </c>
      <c r="C10" s="73" t="s">
        <v>14</v>
      </c>
      <c r="D10" s="71"/>
      <c r="H10" s="193"/>
      <c r="I10" s="196"/>
      <c r="J10" s="187">
        <f>G10*reaction_scale/100</f>
        <v>0</v>
      </c>
      <c r="K10" s="162" t="str">
        <f t="shared" si="1"/>
        <v>-</v>
      </c>
      <c r="L10" s="70" t="str">
        <f t="shared" si="0"/>
        <v>-</v>
      </c>
      <c r="M10" s="237"/>
      <c r="N10" s="174"/>
    </row>
    <row r="11" spans="1:31" ht="17" thickBot="1">
      <c r="A11" s="66"/>
      <c r="B11" s="67">
        <v>10</v>
      </c>
      <c r="C11" s="76" t="s">
        <v>14</v>
      </c>
      <c r="D11" s="74"/>
      <c r="E11" s="68"/>
      <c r="F11" s="67"/>
      <c r="G11" s="67"/>
      <c r="H11" s="191"/>
      <c r="I11" s="197"/>
      <c r="J11" s="294">
        <f>G11*reaction_scale/100</f>
        <v>0</v>
      </c>
      <c r="K11" s="163" t="str">
        <f t="shared" si="1"/>
        <v>-</v>
      </c>
      <c r="L11" s="208" t="str">
        <f t="shared" si="0"/>
        <v>-</v>
      </c>
      <c r="M11" s="238"/>
      <c r="N11" s="175"/>
    </row>
    <row r="12" spans="1:31">
      <c r="A12" s="64" t="s">
        <v>2</v>
      </c>
      <c r="B12" s="80">
        <v>11</v>
      </c>
      <c r="C12" s="81" t="str">
        <f>'Plate Planning'!C2</f>
        <v>-</v>
      </c>
      <c r="D12" s="75"/>
      <c r="E12" s="65"/>
      <c r="F12" s="109"/>
      <c r="G12" s="109"/>
      <c r="H12" s="192"/>
      <c r="I12" s="198"/>
      <c r="J12" s="189">
        <f>G12*reaction_scale/100</f>
        <v>0</v>
      </c>
      <c r="K12" s="164" t="str">
        <f t="shared" si="1"/>
        <v>-</v>
      </c>
      <c r="L12" s="207" t="str">
        <f t="shared" si="0"/>
        <v>-</v>
      </c>
      <c r="M12" s="239"/>
      <c r="N12" s="176"/>
    </row>
    <row r="13" spans="1:31">
      <c r="B13" s="82">
        <v>12</v>
      </c>
      <c r="C13" s="83" t="str">
        <f>'Plate Planning'!D2</f>
        <v>-</v>
      </c>
      <c r="D13" s="71"/>
      <c r="H13" s="193"/>
      <c r="I13" s="196"/>
      <c r="J13" s="187">
        <f>G13*reaction_scale/100</f>
        <v>0</v>
      </c>
      <c r="K13" s="162" t="str">
        <f t="shared" si="1"/>
        <v>-</v>
      </c>
      <c r="L13" s="70" t="str">
        <f t="shared" si="0"/>
        <v>-</v>
      </c>
      <c r="M13" s="237"/>
      <c r="N13" s="174"/>
    </row>
    <row r="14" spans="1:31">
      <c r="B14" s="82">
        <v>13</v>
      </c>
      <c r="C14" s="83" t="str">
        <f>'Plate Planning'!E2</f>
        <v>-</v>
      </c>
      <c r="D14" s="71"/>
      <c r="H14" s="193"/>
      <c r="I14" s="196"/>
      <c r="J14" s="187">
        <f>G14*reaction_scale/100</f>
        <v>0</v>
      </c>
      <c r="K14" s="162" t="str">
        <f t="shared" si="1"/>
        <v>-</v>
      </c>
      <c r="L14" s="70" t="str">
        <f t="shared" si="0"/>
        <v>-</v>
      </c>
      <c r="M14" s="237"/>
      <c r="N14" s="174"/>
    </row>
    <row r="15" spans="1:31">
      <c r="B15" s="82">
        <v>14</v>
      </c>
      <c r="C15" s="83" t="str">
        <f>'Plate Planning'!F2</f>
        <v>-</v>
      </c>
      <c r="D15" s="71"/>
      <c r="H15" s="193"/>
      <c r="I15" s="196"/>
      <c r="J15" s="187">
        <f>G15*reaction_scale/100</f>
        <v>0</v>
      </c>
      <c r="K15" s="162" t="str">
        <f t="shared" si="1"/>
        <v>-</v>
      </c>
      <c r="L15" s="70" t="str">
        <f t="shared" si="0"/>
        <v>-</v>
      </c>
      <c r="M15" s="237"/>
      <c r="N15" s="174"/>
    </row>
    <row r="16" spans="1:31">
      <c r="B16" s="82">
        <v>15</v>
      </c>
      <c r="C16" s="83" t="str">
        <f>'Plate Planning'!G2</f>
        <v>-</v>
      </c>
      <c r="D16" s="71"/>
      <c r="H16" s="193"/>
      <c r="I16" s="196"/>
      <c r="J16" s="187">
        <f>G16*reaction_scale/100</f>
        <v>0</v>
      </c>
      <c r="K16" s="162" t="str">
        <f t="shared" si="1"/>
        <v>-</v>
      </c>
      <c r="L16" s="70" t="str">
        <f t="shared" si="0"/>
        <v>-</v>
      </c>
      <c r="M16" s="237"/>
      <c r="N16" s="174"/>
    </row>
    <row r="17" spans="1:14">
      <c r="B17" s="82">
        <v>16</v>
      </c>
      <c r="C17" s="83" t="str">
        <f>'Plate Planning'!H2</f>
        <v>-</v>
      </c>
      <c r="D17" s="71"/>
      <c r="H17" s="193"/>
      <c r="I17" s="196"/>
      <c r="J17" s="187">
        <f>G17*reaction_scale/100</f>
        <v>0</v>
      </c>
      <c r="K17" s="162" t="str">
        <f t="shared" si="1"/>
        <v>-</v>
      </c>
      <c r="L17" s="70" t="str">
        <f t="shared" si="0"/>
        <v>-</v>
      </c>
      <c r="M17" s="237"/>
      <c r="N17" s="174"/>
    </row>
    <row r="18" spans="1:14">
      <c r="B18" s="82">
        <v>17</v>
      </c>
      <c r="C18" s="83" t="str">
        <f>'Plate Planning'!I2</f>
        <v>-</v>
      </c>
      <c r="D18" s="71"/>
      <c r="H18" s="193"/>
      <c r="I18" s="196"/>
      <c r="J18" s="187">
        <f>G18*reaction_scale/100</f>
        <v>0</v>
      </c>
      <c r="K18" s="162" t="str">
        <f t="shared" si="1"/>
        <v>-</v>
      </c>
      <c r="L18" s="70" t="str">
        <f t="shared" si="0"/>
        <v>-</v>
      </c>
      <c r="M18" s="237"/>
      <c r="N18" s="174"/>
    </row>
    <row r="19" spans="1:14">
      <c r="B19" s="82">
        <v>18</v>
      </c>
      <c r="C19" s="83" t="str">
        <f>'Plate Planning'!J2</f>
        <v>-</v>
      </c>
      <c r="D19" s="71"/>
      <c r="H19" s="193"/>
      <c r="I19" s="196"/>
      <c r="J19" s="187">
        <f>G19*reaction_scale/100</f>
        <v>0</v>
      </c>
      <c r="K19" s="162" t="str">
        <f t="shared" si="1"/>
        <v>-</v>
      </c>
      <c r="L19" s="70" t="str">
        <f t="shared" si="0"/>
        <v>-</v>
      </c>
      <c r="M19" s="237"/>
      <c r="N19" s="174"/>
    </row>
    <row r="20" spans="1:14">
      <c r="B20" s="82">
        <v>19</v>
      </c>
      <c r="C20" s="83" t="str">
        <f>'Plate Planning'!K2</f>
        <v>-</v>
      </c>
      <c r="D20" s="71"/>
      <c r="H20" s="193"/>
      <c r="I20" s="196"/>
      <c r="J20" s="187">
        <f>G20*reaction_scale/100</f>
        <v>0</v>
      </c>
      <c r="K20" s="162" t="str">
        <f t="shared" si="1"/>
        <v>-</v>
      </c>
      <c r="L20" s="70" t="str">
        <f t="shared" si="0"/>
        <v>-</v>
      </c>
      <c r="M20" s="237"/>
      <c r="N20" s="174"/>
    </row>
    <row r="21" spans="1:14">
      <c r="B21" s="82">
        <v>20</v>
      </c>
      <c r="C21" s="83" t="str">
        <f>'Plate Planning'!L2</f>
        <v>-</v>
      </c>
      <c r="D21" s="71"/>
      <c r="H21" s="193"/>
      <c r="I21" s="196"/>
      <c r="J21" s="187">
        <f>G21*reaction_scale/100</f>
        <v>0</v>
      </c>
      <c r="K21" s="162" t="str">
        <f t="shared" si="1"/>
        <v>-</v>
      </c>
      <c r="L21" s="70" t="str">
        <f t="shared" si="0"/>
        <v>-</v>
      </c>
      <c r="M21" s="237"/>
      <c r="N21" s="174"/>
    </row>
    <row r="22" spans="1:14">
      <c r="B22" s="82">
        <v>21</v>
      </c>
      <c r="C22" s="83" t="str">
        <f>'Plate Planning'!M2</f>
        <v>-</v>
      </c>
      <c r="D22" s="71"/>
      <c r="H22" s="193"/>
      <c r="I22" s="196"/>
      <c r="J22" s="187">
        <f>G22*reaction_scale/100</f>
        <v>0</v>
      </c>
      <c r="K22" s="162" t="str">
        <f t="shared" si="1"/>
        <v>-</v>
      </c>
      <c r="L22" s="70" t="str">
        <f t="shared" si="0"/>
        <v>-</v>
      </c>
      <c r="M22" s="237"/>
      <c r="N22" s="174"/>
    </row>
    <row r="23" spans="1:14" ht="17" thickBot="1">
      <c r="A23" s="66"/>
      <c r="B23" s="84">
        <v>22</v>
      </c>
      <c r="C23" s="85" t="str">
        <f>'Plate Planning'!N2</f>
        <v>-</v>
      </c>
      <c r="D23" s="74"/>
      <c r="E23" s="68"/>
      <c r="F23" s="67"/>
      <c r="G23" s="67"/>
      <c r="H23" s="191"/>
      <c r="I23" s="197"/>
      <c r="J23" s="294">
        <f>G23*reaction_scale/100</f>
        <v>0</v>
      </c>
      <c r="K23" s="163" t="str">
        <f t="shared" si="1"/>
        <v>-</v>
      </c>
      <c r="L23" s="208" t="str">
        <f t="shared" si="0"/>
        <v>-</v>
      </c>
      <c r="M23" s="238"/>
      <c r="N23" s="175"/>
    </row>
    <row r="24" spans="1:14">
      <c r="A24" s="64" t="s">
        <v>3</v>
      </c>
      <c r="B24" s="86">
        <v>23</v>
      </c>
      <c r="C24" s="87" t="str">
        <f>'Plate Planning'!C12</f>
        <v>-</v>
      </c>
      <c r="D24" s="75"/>
      <c r="E24" s="65"/>
      <c r="F24" s="109"/>
      <c r="G24" s="109"/>
      <c r="H24" s="192"/>
      <c r="I24" s="198"/>
      <c r="J24" s="189">
        <f>G24*reaction_scale/100</f>
        <v>0</v>
      </c>
      <c r="K24" s="164" t="str">
        <f t="shared" si="1"/>
        <v>-</v>
      </c>
      <c r="L24" s="207" t="str">
        <f t="shared" si="0"/>
        <v>-</v>
      </c>
      <c r="M24" s="239"/>
      <c r="N24" s="176"/>
    </row>
    <row r="25" spans="1:14">
      <c r="B25" s="88">
        <v>24</v>
      </c>
      <c r="C25" s="89" t="str">
        <f>'Plate Planning'!D12</f>
        <v>-</v>
      </c>
      <c r="D25" s="71"/>
      <c r="H25" s="193"/>
      <c r="I25" s="196"/>
      <c r="J25" s="187">
        <f>G25*reaction_scale/100</f>
        <v>0</v>
      </c>
      <c r="K25" s="162" t="str">
        <f t="shared" si="1"/>
        <v>-</v>
      </c>
      <c r="L25" s="70" t="str">
        <f t="shared" si="0"/>
        <v>-</v>
      </c>
      <c r="M25" s="237"/>
      <c r="N25" s="174"/>
    </row>
    <row r="26" spans="1:14">
      <c r="B26" s="88">
        <v>25</v>
      </c>
      <c r="C26" s="89" t="str">
        <f>'Plate Planning'!E12</f>
        <v>-</v>
      </c>
      <c r="D26" s="71"/>
      <c r="H26" s="193"/>
      <c r="I26" s="196"/>
      <c r="J26" s="187">
        <f>G26*reaction_scale/100</f>
        <v>0</v>
      </c>
      <c r="K26" s="162" t="str">
        <f t="shared" si="1"/>
        <v>-</v>
      </c>
      <c r="L26" s="70" t="str">
        <f t="shared" si="0"/>
        <v>-</v>
      </c>
      <c r="M26" s="237"/>
      <c r="N26" s="174"/>
    </row>
    <row r="27" spans="1:14">
      <c r="B27" s="88">
        <v>26</v>
      </c>
      <c r="C27" s="89" t="str">
        <f>'Plate Planning'!F12</f>
        <v>-</v>
      </c>
      <c r="D27" s="71"/>
      <c r="H27" s="193"/>
      <c r="I27" s="196"/>
      <c r="J27" s="187">
        <f>G27*reaction_scale/100</f>
        <v>0</v>
      </c>
      <c r="K27" s="162" t="str">
        <f t="shared" si="1"/>
        <v>-</v>
      </c>
      <c r="L27" s="70" t="str">
        <f t="shared" si="0"/>
        <v>-</v>
      </c>
      <c r="M27" s="237"/>
      <c r="N27" s="174"/>
    </row>
    <row r="28" spans="1:14">
      <c r="B28" s="88">
        <v>27</v>
      </c>
      <c r="C28" s="89" t="str">
        <f>'Plate Planning'!G12</f>
        <v>-</v>
      </c>
      <c r="D28" s="71"/>
      <c r="H28" s="193"/>
      <c r="I28" s="196"/>
      <c r="J28" s="187">
        <f>G28*reaction_scale/100</f>
        <v>0</v>
      </c>
      <c r="K28" s="162" t="str">
        <f t="shared" si="1"/>
        <v>-</v>
      </c>
      <c r="L28" s="70" t="str">
        <f t="shared" si="0"/>
        <v>-</v>
      </c>
      <c r="M28" s="237"/>
      <c r="N28" s="174"/>
    </row>
    <row r="29" spans="1:14">
      <c r="B29" s="88">
        <v>28</v>
      </c>
      <c r="C29" s="89" t="str">
        <f>'Plate Planning'!H12</f>
        <v>-</v>
      </c>
      <c r="D29" s="71"/>
      <c r="H29" s="193"/>
      <c r="I29" s="199"/>
      <c r="J29" s="187">
        <f>G29*reaction_scale/100</f>
        <v>0</v>
      </c>
      <c r="K29" s="162" t="str">
        <f t="shared" si="1"/>
        <v>-</v>
      </c>
      <c r="L29" s="70" t="str">
        <f t="shared" si="0"/>
        <v>-</v>
      </c>
      <c r="M29" s="237"/>
      <c r="N29" s="174"/>
    </row>
    <row r="30" spans="1:14">
      <c r="B30" s="88">
        <v>29</v>
      </c>
      <c r="C30" s="89" t="str">
        <f>'Plate Planning'!I12</f>
        <v>-</v>
      </c>
      <c r="D30" s="71"/>
      <c r="H30" s="193"/>
      <c r="I30" s="198"/>
      <c r="J30" s="187">
        <f>G30*reaction_scale/100</f>
        <v>0</v>
      </c>
      <c r="K30" s="162" t="str">
        <f t="shared" si="1"/>
        <v>-</v>
      </c>
      <c r="L30" s="70" t="str">
        <f t="shared" si="0"/>
        <v>-</v>
      </c>
      <c r="M30" s="237"/>
      <c r="N30" s="174"/>
    </row>
    <row r="31" spans="1:14">
      <c r="B31" s="88">
        <v>30</v>
      </c>
      <c r="C31" s="89" t="str">
        <f>'Plate Planning'!J12</f>
        <v>-</v>
      </c>
      <c r="D31" s="71"/>
      <c r="H31" s="193"/>
      <c r="I31" s="196"/>
      <c r="J31" s="187">
        <f>G31*reaction_scale/100</f>
        <v>0</v>
      </c>
      <c r="K31" s="162" t="str">
        <f t="shared" si="1"/>
        <v>-</v>
      </c>
      <c r="L31" s="70" t="str">
        <f t="shared" si="0"/>
        <v>-</v>
      </c>
      <c r="M31" s="237"/>
      <c r="N31" s="174"/>
    </row>
    <row r="32" spans="1:14">
      <c r="B32" s="88">
        <v>31</v>
      </c>
      <c r="C32" s="89" t="str">
        <f>'Plate Planning'!K12</f>
        <v>-</v>
      </c>
      <c r="D32" s="71"/>
      <c r="H32" s="193"/>
      <c r="I32" s="187"/>
      <c r="J32" s="187">
        <f>G32*reaction_scale/100</f>
        <v>0</v>
      </c>
      <c r="K32" s="162" t="str">
        <f t="shared" si="1"/>
        <v>-</v>
      </c>
      <c r="L32" s="70" t="str">
        <f t="shared" si="0"/>
        <v>-</v>
      </c>
      <c r="M32" s="237"/>
      <c r="N32" s="174"/>
    </row>
    <row r="33" spans="1:14">
      <c r="B33" s="88">
        <v>32</v>
      </c>
      <c r="C33" s="89" t="str">
        <f>'Plate Planning'!L12</f>
        <v>-</v>
      </c>
      <c r="D33" s="71"/>
      <c r="H33" s="193"/>
      <c r="I33" s="187"/>
      <c r="J33" s="187">
        <f>G33*reaction_scale/100</f>
        <v>0</v>
      </c>
      <c r="K33" s="162" t="str">
        <f t="shared" si="1"/>
        <v>-</v>
      </c>
      <c r="L33" s="70" t="str">
        <f t="shared" si="0"/>
        <v>-</v>
      </c>
      <c r="M33" s="237"/>
      <c r="N33" s="174"/>
    </row>
    <row r="34" spans="1:14">
      <c r="B34" s="88">
        <v>33</v>
      </c>
      <c r="C34" s="89" t="str">
        <f>'Plate Planning'!M12</f>
        <v>-</v>
      </c>
      <c r="D34" s="71"/>
      <c r="H34" s="193"/>
      <c r="I34" s="187"/>
      <c r="J34" s="187">
        <f>G34*reaction_scale/100</f>
        <v>0</v>
      </c>
      <c r="K34" s="162" t="str">
        <f t="shared" si="1"/>
        <v>-</v>
      </c>
      <c r="L34" s="70" t="str">
        <f t="shared" si="0"/>
        <v>-</v>
      </c>
      <c r="M34" s="237"/>
      <c r="N34" s="174"/>
    </row>
    <row r="35" spans="1:14" ht="17" thickBot="1">
      <c r="A35" s="66"/>
      <c r="B35" s="90">
        <v>34</v>
      </c>
      <c r="C35" s="91" t="str">
        <f>'Plate Planning'!N12</f>
        <v>-</v>
      </c>
      <c r="D35" s="74"/>
      <c r="E35" s="68"/>
      <c r="F35" s="67"/>
      <c r="G35" s="67"/>
      <c r="H35" s="191"/>
      <c r="I35" s="188"/>
      <c r="J35" s="294">
        <f>G35*reaction_scale/100</f>
        <v>0</v>
      </c>
      <c r="K35" s="163" t="str">
        <f t="shared" si="1"/>
        <v>-</v>
      </c>
      <c r="L35" s="208" t="str">
        <f t="shared" si="0"/>
        <v>-</v>
      </c>
      <c r="M35" s="238"/>
      <c r="N35" s="175"/>
    </row>
    <row r="36" spans="1:14">
      <c r="A36" s="64" t="s">
        <v>4</v>
      </c>
      <c r="B36" s="92">
        <v>35</v>
      </c>
      <c r="C36" s="79" t="str">
        <f>'Plate Planning'!B4</f>
        <v>-</v>
      </c>
      <c r="D36" s="75"/>
      <c r="E36" s="65"/>
      <c r="F36" s="109"/>
      <c r="G36" s="109"/>
      <c r="H36" s="192"/>
      <c r="I36" s="189"/>
      <c r="J36" s="189">
        <f>G36*reaction_scale/100</f>
        <v>0</v>
      </c>
      <c r="K36" s="164" t="str">
        <f t="shared" si="1"/>
        <v>-</v>
      </c>
      <c r="L36" s="207" t="str">
        <f t="shared" si="0"/>
        <v>-</v>
      </c>
      <c r="M36" s="239"/>
      <c r="N36" s="176"/>
    </row>
    <row r="37" spans="1:14">
      <c r="B37" s="93">
        <v>36</v>
      </c>
      <c r="C37" s="78" t="str">
        <f>'Plate Planning'!B5</f>
        <v>-</v>
      </c>
      <c r="D37" s="71"/>
      <c r="H37" s="193"/>
      <c r="I37" s="187"/>
      <c r="J37" s="187">
        <f>G37*reaction_scale/100</f>
        <v>0</v>
      </c>
      <c r="K37" s="162" t="str">
        <f t="shared" si="1"/>
        <v>-</v>
      </c>
      <c r="L37" s="70" t="str">
        <f t="shared" si="0"/>
        <v>-</v>
      </c>
      <c r="M37" s="237"/>
      <c r="N37" s="174"/>
    </row>
    <row r="38" spans="1:14">
      <c r="B38" s="93">
        <v>37</v>
      </c>
      <c r="C38" s="78" t="str">
        <f>'Plate Planning'!B6</f>
        <v>-</v>
      </c>
      <c r="D38" s="71"/>
      <c r="H38" s="193"/>
      <c r="I38" s="187"/>
      <c r="J38" s="187">
        <f>G38*reaction_scale/100</f>
        <v>0</v>
      </c>
      <c r="K38" s="162" t="str">
        <f t="shared" si="1"/>
        <v>-</v>
      </c>
      <c r="L38" s="70" t="str">
        <f t="shared" si="0"/>
        <v>-</v>
      </c>
      <c r="M38" s="237"/>
      <c r="N38" s="174"/>
    </row>
    <row r="39" spans="1:14">
      <c r="B39" s="93">
        <v>38</v>
      </c>
      <c r="C39" s="78" t="str">
        <f>'Plate Planning'!B7</f>
        <v>-</v>
      </c>
      <c r="D39" s="71"/>
      <c r="H39" s="193"/>
      <c r="I39" s="187"/>
      <c r="J39" s="187">
        <f>G39*reaction_scale/100</f>
        <v>0</v>
      </c>
      <c r="K39" s="162" t="str">
        <f t="shared" si="1"/>
        <v>-</v>
      </c>
      <c r="L39" s="70" t="str">
        <f t="shared" si="0"/>
        <v>-</v>
      </c>
      <c r="M39" s="237"/>
      <c r="N39" s="174"/>
    </row>
    <row r="40" spans="1:14">
      <c r="B40" s="93">
        <v>39</v>
      </c>
      <c r="C40" s="78" t="str">
        <f>'Plate Planning'!B8</f>
        <v>-</v>
      </c>
      <c r="D40" s="71"/>
      <c r="H40" s="193"/>
      <c r="I40" s="187"/>
      <c r="J40" s="187">
        <f>G40*reaction_scale/100</f>
        <v>0</v>
      </c>
      <c r="K40" s="162" t="str">
        <f t="shared" si="1"/>
        <v>-</v>
      </c>
      <c r="L40" s="70" t="str">
        <f t="shared" si="0"/>
        <v>-</v>
      </c>
      <c r="M40" s="237"/>
      <c r="N40" s="174"/>
    </row>
    <row r="41" spans="1:14">
      <c r="B41" s="93">
        <v>40</v>
      </c>
      <c r="C41" s="78" t="str">
        <f>'Plate Planning'!B9</f>
        <v>-</v>
      </c>
      <c r="D41" s="71"/>
      <c r="H41" s="193"/>
      <c r="I41" s="187"/>
      <c r="J41" s="187">
        <f>G41*reaction_scale/100</f>
        <v>0</v>
      </c>
      <c r="K41" s="162" t="str">
        <f t="shared" si="1"/>
        <v>-</v>
      </c>
      <c r="L41" s="70" t="str">
        <f t="shared" si="0"/>
        <v>-</v>
      </c>
      <c r="M41" s="237"/>
      <c r="N41" s="174"/>
    </row>
    <row r="42" spans="1:14">
      <c r="B42" s="93">
        <v>41</v>
      </c>
      <c r="C42" s="78" t="str">
        <f>'Plate Planning'!B10</f>
        <v>-</v>
      </c>
      <c r="D42" s="71"/>
      <c r="H42" s="193"/>
      <c r="I42" s="187"/>
      <c r="J42" s="187">
        <f>G42*reaction_scale/100</f>
        <v>0</v>
      </c>
      <c r="K42" s="162" t="str">
        <f t="shared" si="1"/>
        <v>-</v>
      </c>
      <c r="L42" s="70" t="str">
        <f t="shared" si="0"/>
        <v>-</v>
      </c>
      <c r="M42" s="237"/>
      <c r="N42" s="174"/>
    </row>
    <row r="43" spans="1:14" ht="17" thickBot="1">
      <c r="A43" s="66"/>
      <c r="B43" s="94">
        <v>42</v>
      </c>
      <c r="C43" s="77" t="str">
        <f>'Plate Planning'!B11</f>
        <v>-</v>
      </c>
      <c r="D43" s="74"/>
      <c r="E43" s="68"/>
      <c r="F43" s="67"/>
      <c r="G43" s="67"/>
      <c r="H43" s="191"/>
      <c r="I43" s="188"/>
      <c r="J43" s="294">
        <f>G43*reaction_scale/100</f>
        <v>0</v>
      </c>
      <c r="K43" s="163" t="str">
        <f t="shared" si="1"/>
        <v>-</v>
      </c>
      <c r="L43" s="208" t="str">
        <f t="shared" si="0"/>
        <v>-</v>
      </c>
      <c r="M43" s="238"/>
      <c r="N43" s="175"/>
    </row>
    <row r="44" spans="1:14">
      <c r="A44" s="64" t="s">
        <v>54</v>
      </c>
      <c r="B44" s="95">
        <v>43</v>
      </c>
      <c r="C44" s="96" t="str">
        <f>'Plate Planning'!O4</f>
        <v>-</v>
      </c>
      <c r="D44" s="75"/>
      <c r="E44" s="65"/>
      <c r="F44" s="109"/>
      <c r="G44" s="109"/>
      <c r="H44" s="192"/>
      <c r="I44" s="189"/>
      <c r="J44" s="189">
        <f>G44*reaction_scale/100</f>
        <v>0</v>
      </c>
      <c r="K44" s="164" t="str">
        <f t="shared" si="1"/>
        <v>-</v>
      </c>
      <c r="L44" s="207" t="str">
        <f t="shared" si="0"/>
        <v>-</v>
      </c>
      <c r="M44" s="239"/>
      <c r="N44" s="176"/>
    </row>
    <row r="45" spans="1:14">
      <c r="B45" s="97">
        <v>44</v>
      </c>
      <c r="C45" s="98" t="str">
        <f>'Plate Planning'!O5</f>
        <v>-</v>
      </c>
      <c r="D45" s="71"/>
      <c r="H45" s="193"/>
      <c r="I45" s="187"/>
      <c r="J45" s="187">
        <f>G45*reaction_scale/100</f>
        <v>0</v>
      </c>
      <c r="K45" s="162" t="str">
        <f t="shared" si="1"/>
        <v>-</v>
      </c>
      <c r="L45" s="70" t="str">
        <f t="shared" si="0"/>
        <v>-</v>
      </c>
      <c r="M45" s="237"/>
      <c r="N45" s="174"/>
    </row>
    <row r="46" spans="1:14">
      <c r="B46" s="97">
        <v>45</v>
      </c>
      <c r="C46" s="98" t="str">
        <f>'Plate Planning'!O6</f>
        <v>-</v>
      </c>
      <c r="D46" s="71"/>
      <c r="H46" s="193"/>
      <c r="I46" s="187"/>
      <c r="J46" s="187">
        <f>G46*reaction_scale/100</f>
        <v>0</v>
      </c>
      <c r="K46" s="162" t="str">
        <f t="shared" si="1"/>
        <v>-</v>
      </c>
      <c r="L46" s="70" t="str">
        <f t="shared" si="0"/>
        <v>-</v>
      </c>
      <c r="M46" s="237"/>
      <c r="N46" s="174"/>
    </row>
    <row r="47" spans="1:14">
      <c r="B47" s="97">
        <v>46</v>
      </c>
      <c r="C47" s="98" t="str">
        <f>'Plate Planning'!O7</f>
        <v>-</v>
      </c>
      <c r="D47" s="71"/>
      <c r="H47" s="193"/>
      <c r="I47" s="187"/>
      <c r="J47" s="187">
        <f>G47*reaction_scale/100</f>
        <v>0</v>
      </c>
      <c r="K47" s="162" t="str">
        <f t="shared" si="1"/>
        <v>-</v>
      </c>
      <c r="L47" s="70" t="str">
        <f t="shared" si="0"/>
        <v>-</v>
      </c>
      <c r="M47" s="237"/>
      <c r="N47" s="174"/>
    </row>
    <row r="48" spans="1:14">
      <c r="B48" s="97">
        <v>47</v>
      </c>
      <c r="C48" s="98" t="str">
        <f>'Plate Planning'!O8</f>
        <v>-</v>
      </c>
      <c r="D48" s="71"/>
      <c r="H48" s="193"/>
      <c r="I48" s="187"/>
      <c r="J48" s="187">
        <f>G48*reaction_scale/100</f>
        <v>0</v>
      </c>
      <c r="K48" s="162" t="str">
        <f t="shared" si="1"/>
        <v>-</v>
      </c>
      <c r="L48" s="70" t="str">
        <f t="shared" si="0"/>
        <v>-</v>
      </c>
      <c r="M48" s="237"/>
      <c r="N48" s="174"/>
    </row>
    <row r="49" spans="1:31">
      <c r="B49" s="97">
        <v>48</v>
      </c>
      <c r="C49" s="98" t="str">
        <f>'Plate Planning'!O9</f>
        <v>-</v>
      </c>
      <c r="D49" s="71"/>
      <c r="H49" s="193"/>
      <c r="I49" s="187"/>
      <c r="J49" s="187">
        <f>G49*reaction_scale/100</f>
        <v>0</v>
      </c>
      <c r="K49" s="162" t="str">
        <f t="shared" si="1"/>
        <v>-</v>
      </c>
      <c r="L49" s="70" t="str">
        <f t="shared" si="0"/>
        <v>-</v>
      </c>
      <c r="M49" s="237"/>
      <c r="N49" s="174"/>
    </row>
    <row r="50" spans="1:31">
      <c r="B50" s="97">
        <v>49</v>
      </c>
      <c r="C50" s="98" t="str">
        <f>'Plate Planning'!O10</f>
        <v>-</v>
      </c>
      <c r="D50" s="71"/>
      <c r="H50" s="193"/>
      <c r="I50" s="187"/>
      <c r="J50" s="187">
        <f>G50*reaction_scale/100</f>
        <v>0</v>
      </c>
      <c r="K50" s="162" t="str">
        <f t="shared" si="1"/>
        <v>-</v>
      </c>
      <c r="L50" s="70" t="str">
        <f t="shared" si="0"/>
        <v>-</v>
      </c>
      <c r="M50" s="237"/>
      <c r="N50" s="174"/>
    </row>
    <row r="51" spans="1:31" s="101" customFormat="1" ht="17" thickBot="1">
      <c r="A51" s="66"/>
      <c r="B51" s="99">
        <v>50</v>
      </c>
      <c r="C51" s="100" t="str">
        <f>'Plate Planning'!O11</f>
        <v>-</v>
      </c>
      <c r="D51" s="74"/>
      <c r="E51" s="68"/>
      <c r="F51" s="67"/>
      <c r="G51" s="67"/>
      <c r="H51" s="191"/>
      <c r="I51" s="188"/>
      <c r="J51" s="294">
        <f>G51*reaction_scale/100</f>
        <v>0</v>
      </c>
      <c r="K51" s="163" t="str">
        <f t="shared" si="1"/>
        <v>-</v>
      </c>
      <c r="L51" s="208" t="str">
        <f t="shared" si="0"/>
        <v>-</v>
      </c>
      <c r="M51" s="238"/>
      <c r="N51" s="175"/>
      <c r="O51" s="103"/>
      <c r="P51" s="103"/>
      <c r="Q51" s="103"/>
      <c r="R51" s="103"/>
      <c r="S51" s="103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s="103" customFormat="1">
      <c r="A52" s="102"/>
      <c r="F52" s="104"/>
      <c r="G52" s="104"/>
      <c r="H52" s="104"/>
      <c r="I52" s="104"/>
      <c r="J52" s="104"/>
      <c r="K52" s="105"/>
      <c r="L52" s="104"/>
      <c r="M52" s="240"/>
    </row>
    <row r="53" spans="1:31" s="103" customFormat="1">
      <c r="A53" s="102"/>
      <c r="F53" s="104"/>
      <c r="G53" s="104"/>
      <c r="H53" s="104"/>
      <c r="I53" s="104"/>
      <c r="J53" s="104"/>
      <c r="K53" s="105"/>
      <c r="L53" s="104"/>
      <c r="M53" s="240"/>
    </row>
    <row r="54" spans="1:31" s="103" customFormat="1">
      <c r="A54" s="102"/>
      <c r="F54" s="104"/>
      <c r="G54" s="104"/>
      <c r="H54" s="104"/>
      <c r="I54" s="104"/>
      <c r="J54" s="104"/>
      <c r="K54" s="105"/>
      <c r="L54" s="104"/>
      <c r="M54" s="240"/>
    </row>
    <row r="55" spans="1:31" s="103" customFormat="1">
      <c r="A55" s="102"/>
      <c r="F55" s="104"/>
      <c r="G55" s="104"/>
      <c r="H55" s="104"/>
      <c r="I55" s="104"/>
      <c r="J55" s="104"/>
      <c r="K55" s="105"/>
      <c r="L55" s="104"/>
      <c r="M55" s="240"/>
    </row>
    <row r="56" spans="1:31" s="103" customFormat="1">
      <c r="A56" s="102"/>
      <c r="F56" s="104"/>
      <c r="G56" s="104"/>
      <c r="H56" s="104"/>
      <c r="I56" s="104"/>
      <c r="J56" s="104"/>
      <c r="K56" s="105"/>
      <c r="L56" s="104"/>
      <c r="M56" s="240"/>
    </row>
    <row r="57" spans="1:31" s="103" customFormat="1">
      <c r="A57" s="102"/>
      <c r="F57" s="104"/>
      <c r="G57" s="104"/>
      <c r="H57" s="104"/>
      <c r="I57" s="104"/>
      <c r="J57" s="104"/>
      <c r="K57" s="105"/>
      <c r="L57" s="104"/>
      <c r="M57" s="240"/>
    </row>
    <row r="58" spans="1:31" s="103" customFormat="1">
      <c r="A58" s="102"/>
      <c r="F58" s="104"/>
      <c r="G58" s="104"/>
      <c r="H58" s="104"/>
      <c r="I58" s="104"/>
      <c r="J58" s="104"/>
      <c r="K58" s="105"/>
      <c r="L58" s="104"/>
      <c r="M58" s="240"/>
    </row>
    <row r="59" spans="1:31" s="103" customFormat="1">
      <c r="A59" s="102"/>
      <c r="F59" s="104"/>
      <c r="G59" s="104"/>
      <c r="H59" s="104"/>
      <c r="I59" s="104"/>
      <c r="J59" s="104"/>
      <c r="K59" s="105"/>
      <c r="L59" s="104"/>
      <c r="M59" s="240"/>
    </row>
    <row r="60" spans="1:31" s="103" customFormat="1">
      <c r="A60" s="102"/>
      <c r="F60" s="104"/>
      <c r="G60" s="104"/>
      <c r="H60" s="104"/>
      <c r="I60" s="104"/>
      <c r="J60" s="104"/>
      <c r="K60" s="105"/>
      <c r="L60" s="104"/>
      <c r="M60" s="240"/>
    </row>
    <row r="61" spans="1:31" s="103" customFormat="1">
      <c r="A61" s="102"/>
      <c r="F61" s="104"/>
      <c r="G61" s="104"/>
      <c r="H61" s="104"/>
      <c r="I61" s="104"/>
      <c r="J61" s="104"/>
      <c r="K61" s="105"/>
      <c r="L61" s="104"/>
      <c r="M61" s="240"/>
    </row>
    <row r="62" spans="1:31" s="103" customFormat="1">
      <c r="A62" s="102"/>
      <c r="F62" s="104"/>
      <c r="G62" s="104"/>
      <c r="H62" s="104"/>
      <c r="I62" s="104"/>
      <c r="J62" s="104"/>
      <c r="K62" s="105"/>
      <c r="L62" s="104"/>
      <c r="M62" s="240"/>
    </row>
    <row r="63" spans="1:31" s="103" customFormat="1">
      <c r="A63" s="102"/>
      <c r="F63" s="104"/>
      <c r="G63" s="104"/>
      <c r="H63" s="104"/>
      <c r="I63" s="104"/>
      <c r="J63" s="104"/>
      <c r="K63" s="105"/>
      <c r="L63" s="104"/>
      <c r="M63" s="240"/>
    </row>
    <row r="64" spans="1:31" s="103" customFormat="1">
      <c r="A64" s="102"/>
      <c r="F64" s="104"/>
      <c r="G64" s="104"/>
      <c r="H64" s="104"/>
      <c r="I64" s="104"/>
      <c r="J64" s="104"/>
      <c r="K64" s="105"/>
      <c r="L64" s="104"/>
      <c r="M64" s="240"/>
    </row>
    <row r="65" spans="1:19" s="103" customFormat="1">
      <c r="A65" s="102"/>
      <c r="F65" s="104"/>
      <c r="G65" s="104"/>
      <c r="H65" s="104"/>
      <c r="I65" s="104"/>
      <c r="J65" s="104"/>
      <c r="K65" s="105"/>
      <c r="L65" s="104"/>
      <c r="M65" s="240"/>
    </row>
    <row r="66" spans="1:19" s="103" customFormat="1">
      <c r="A66" s="102"/>
      <c r="F66" s="104"/>
      <c r="G66" s="104"/>
      <c r="H66" s="104"/>
      <c r="I66" s="104"/>
      <c r="J66" s="104"/>
      <c r="K66" s="105"/>
      <c r="L66" s="104"/>
      <c r="M66" s="240"/>
    </row>
    <row r="67" spans="1:19" s="103" customFormat="1">
      <c r="A67" s="102"/>
      <c r="F67" s="104"/>
      <c r="G67" s="104"/>
      <c r="H67" s="104"/>
      <c r="I67" s="104"/>
      <c r="J67" s="104"/>
      <c r="K67" s="105"/>
      <c r="L67" s="104"/>
      <c r="M67" s="240"/>
    </row>
    <row r="68" spans="1:19" s="103" customFormat="1">
      <c r="A68" s="102"/>
      <c r="F68" s="104"/>
      <c r="G68" s="104"/>
      <c r="H68" s="104"/>
      <c r="I68" s="104"/>
      <c r="J68" s="104"/>
      <c r="K68" s="105"/>
      <c r="L68" s="104"/>
      <c r="M68" s="240"/>
    </row>
    <row r="69" spans="1:19" s="103" customFormat="1">
      <c r="A69" s="102"/>
      <c r="F69" s="104"/>
      <c r="G69" s="104"/>
      <c r="H69" s="104"/>
      <c r="I69" s="104"/>
      <c r="J69" s="104"/>
      <c r="K69" s="105"/>
      <c r="L69" s="104"/>
      <c r="M69" s="240"/>
    </row>
    <row r="70" spans="1:19" s="103" customFormat="1">
      <c r="A70" s="102"/>
      <c r="F70" s="104"/>
      <c r="G70" s="104"/>
      <c r="H70" s="104"/>
      <c r="I70" s="104"/>
      <c r="J70" s="104"/>
      <c r="K70" s="105"/>
      <c r="L70" s="104"/>
      <c r="M70" s="240"/>
    </row>
    <row r="71" spans="1:19" s="103" customFormat="1">
      <c r="A71" s="102"/>
      <c r="F71" s="104"/>
      <c r="G71" s="104"/>
      <c r="H71" s="104"/>
      <c r="I71" s="104"/>
      <c r="J71" s="104"/>
      <c r="K71" s="105"/>
      <c r="L71" s="104"/>
      <c r="M71" s="240"/>
    </row>
    <row r="72" spans="1:19" s="103" customFormat="1">
      <c r="A72" s="102"/>
      <c r="F72" s="104"/>
      <c r="G72" s="104"/>
      <c r="H72" s="104"/>
      <c r="I72" s="104"/>
      <c r="J72" s="104"/>
      <c r="K72" s="105"/>
      <c r="L72" s="104"/>
      <c r="M72" s="240"/>
    </row>
    <row r="73" spans="1:19" s="103" customFormat="1">
      <c r="A73" s="102"/>
      <c r="F73" s="104"/>
      <c r="G73" s="104"/>
      <c r="H73" s="104"/>
      <c r="I73" s="104"/>
      <c r="J73" s="104"/>
      <c r="K73" s="105"/>
      <c r="L73" s="104"/>
      <c r="M73" s="240"/>
    </row>
    <row r="74" spans="1:19" s="103" customFormat="1">
      <c r="A74" s="102"/>
      <c r="F74" s="104"/>
      <c r="G74" s="104"/>
      <c r="H74" s="104"/>
      <c r="I74" s="104"/>
      <c r="J74" s="104"/>
      <c r="K74" s="105"/>
      <c r="L74" s="104"/>
      <c r="M74" s="240"/>
    </row>
    <row r="75" spans="1:19" s="1" customFormat="1">
      <c r="A75" s="16"/>
      <c r="F75" s="2"/>
      <c r="G75" s="2"/>
      <c r="H75" s="2"/>
      <c r="I75" s="2"/>
      <c r="J75" s="2"/>
      <c r="K75" s="47"/>
      <c r="L75" s="2"/>
      <c r="M75" s="241"/>
      <c r="N75" s="103"/>
      <c r="O75" s="103"/>
      <c r="P75" s="103"/>
      <c r="Q75" s="103"/>
      <c r="R75" s="103"/>
      <c r="S75" s="103"/>
    </row>
    <row r="76" spans="1:19" s="1" customFormat="1">
      <c r="A76" s="16"/>
      <c r="F76" s="2"/>
      <c r="G76" s="2"/>
      <c r="H76" s="2"/>
      <c r="I76" s="2"/>
      <c r="J76" s="2"/>
      <c r="K76" s="47"/>
      <c r="L76" s="2"/>
      <c r="M76" s="241"/>
      <c r="N76" s="103"/>
      <c r="O76" s="103"/>
      <c r="P76" s="103"/>
      <c r="Q76" s="103"/>
      <c r="R76" s="103"/>
      <c r="S76" s="103"/>
    </row>
    <row r="77" spans="1:19" s="1" customFormat="1">
      <c r="A77" s="16"/>
      <c r="F77" s="2"/>
      <c r="G77" s="2"/>
      <c r="H77" s="2"/>
      <c r="I77" s="2"/>
      <c r="J77" s="2"/>
      <c r="K77" s="47"/>
      <c r="L77" s="2"/>
      <c r="M77" s="241"/>
      <c r="N77" s="103"/>
      <c r="O77" s="103"/>
      <c r="P77" s="103"/>
      <c r="Q77" s="103"/>
      <c r="R77" s="103"/>
      <c r="S77" s="103"/>
    </row>
    <row r="78" spans="1:19" s="1" customFormat="1">
      <c r="A78" s="16"/>
      <c r="F78" s="2"/>
      <c r="G78" s="2"/>
      <c r="H78" s="2"/>
      <c r="I78" s="2"/>
      <c r="J78" s="2"/>
      <c r="K78" s="47"/>
      <c r="L78" s="2"/>
      <c r="M78" s="241"/>
      <c r="N78" s="103"/>
      <c r="O78" s="103"/>
      <c r="P78" s="103"/>
      <c r="Q78" s="103"/>
      <c r="R78" s="103"/>
      <c r="S78" s="103"/>
    </row>
  </sheetData>
  <phoneticPr fontId="7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6ECD-AB95-984F-BE47-2A8C0C429846}">
  <dimension ref="A1:BA107"/>
  <sheetViews>
    <sheetView zoomScaleNormal="100" workbookViewId="0">
      <pane xSplit="1" topLeftCell="B1" activePane="topRight" state="frozen"/>
      <selection pane="topRight" activeCell="G27" sqref="G27"/>
    </sheetView>
  </sheetViews>
  <sheetFormatPr baseColWidth="10" defaultRowHeight="16"/>
  <cols>
    <col min="1" max="1" width="10.1640625" style="1" customWidth="1"/>
    <col min="2" max="2" width="9.1640625" style="1" customWidth="1"/>
    <col min="3" max="3" width="10.1640625" style="2" customWidth="1"/>
    <col min="4" max="4" width="15" style="2" customWidth="1"/>
    <col min="5" max="5" width="12.33203125" style="2" customWidth="1"/>
    <col min="6" max="6" width="7" style="25" customWidth="1"/>
    <col min="7" max="7" width="21" style="1" customWidth="1"/>
    <col min="8" max="9" width="22.5" style="2" customWidth="1"/>
    <col min="10" max="10" width="7" style="25" customWidth="1"/>
    <col min="11" max="11" width="20.5" style="1" customWidth="1"/>
    <col min="12" max="13" width="22.83203125" style="47" customWidth="1"/>
    <col min="14" max="14" width="7.83203125" style="25" customWidth="1"/>
    <col min="15" max="15" width="23.83203125" style="1" customWidth="1"/>
    <col min="16" max="17" width="22.33203125" style="1" customWidth="1"/>
    <col min="18" max="18" width="7.1640625" style="25" customWidth="1"/>
    <col min="19" max="19" width="26" style="1" customWidth="1"/>
    <col min="20" max="21" width="22.6640625" style="1" customWidth="1"/>
    <col min="22" max="53" width="10.83203125" style="103"/>
    <col min="54" max="16384" width="10.83203125" style="1"/>
  </cols>
  <sheetData>
    <row r="1" spans="1:53" s="16" customFormat="1">
      <c r="A1" s="34" t="s">
        <v>72</v>
      </c>
      <c r="B1" s="138" t="s">
        <v>11</v>
      </c>
      <c r="C1" s="139" t="s">
        <v>8</v>
      </c>
      <c r="D1" s="139" t="s">
        <v>55</v>
      </c>
      <c r="E1" s="49" t="s">
        <v>56</v>
      </c>
      <c r="F1" s="53" t="s">
        <v>16</v>
      </c>
      <c r="G1" s="17"/>
      <c r="H1" s="54"/>
      <c r="I1" s="204"/>
      <c r="J1" s="276" t="s">
        <v>17</v>
      </c>
      <c r="K1" s="276"/>
      <c r="L1" s="277"/>
      <c r="M1" s="202"/>
      <c r="N1" s="16" t="s">
        <v>18</v>
      </c>
      <c r="O1" s="126"/>
      <c r="P1" s="126"/>
      <c r="Q1" s="128"/>
      <c r="R1" s="126" t="s">
        <v>19</v>
      </c>
      <c r="S1" s="126"/>
      <c r="T1" s="126"/>
      <c r="U1" s="128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</row>
    <row r="2" spans="1:53" s="17" customFormat="1" ht="17" thickBot="1">
      <c r="A2" s="48" t="s">
        <v>41</v>
      </c>
      <c r="B2" s="140"/>
      <c r="C2" s="141"/>
      <c r="D2" s="141" t="s">
        <v>73</v>
      </c>
      <c r="E2" s="50" t="s">
        <v>57</v>
      </c>
      <c r="F2" s="140" t="s">
        <v>20</v>
      </c>
      <c r="G2" s="35" t="s">
        <v>5</v>
      </c>
      <c r="H2" s="56" t="s">
        <v>21</v>
      </c>
      <c r="I2" s="205" t="s">
        <v>61</v>
      </c>
      <c r="J2" s="140" t="s">
        <v>20</v>
      </c>
      <c r="K2" s="55" t="s">
        <v>5</v>
      </c>
      <c r="L2" s="57" t="s">
        <v>21</v>
      </c>
      <c r="M2" s="203" t="s">
        <v>61</v>
      </c>
      <c r="N2" s="140" t="s">
        <v>20</v>
      </c>
      <c r="O2" s="123" t="s">
        <v>5</v>
      </c>
      <c r="P2" s="120" t="s">
        <v>21</v>
      </c>
      <c r="Q2" s="201" t="s">
        <v>61</v>
      </c>
      <c r="R2" s="140" t="s">
        <v>20</v>
      </c>
      <c r="S2" s="127" t="s">
        <v>5</v>
      </c>
      <c r="T2" s="120" t="s">
        <v>21</v>
      </c>
      <c r="U2" s="129" t="s">
        <v>61</v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</row>
    <row r="3" spans="1:53" s="13" customFormat="1">
      <c r="A3" s="20">
        <v>1</v>
      </c>
      <c r="C3" s="19"/>
      <c r="D3" s="19"/>
      <c r="E3" s="51">
        <f>1.25*D3*C3/1000</f>
        <v>0</v>
      </c>
      <c r="G3" s="8" t="str">
        <f>IFERROR(LOOKUP('Stock Solution Calculator'!F3,Reagents!B:B,Reagents!C:C), "-")</f>
        <v>-</v>
      </c>
      <c r="H3" s="58" t="str">
        <f>IFERROR(LOOKUP(F3,Reagents!B:B,Reagents!F:F)*LOOKUP(F3,Reagents!B:B,Reagents!J:J)*$C$3/1000*1.25, "-")</f>
        <v>-</v>
      </c>
      <c r="I3" s="209" t="str">
        <f>IFERROR(IF(LOOKUP(F3,Reagents!B:B,Reagents!I:I)=0,'Stock Solution Calculator'!H3/LOOKUP('Stock Solution Calculator'!F3,Reagents!B:B,Reagents!H:H),LOOKUP(F3,Reagents!B:B,Reagents!I:I)*LOOKUP(F3,Reagents!B:B,Reagents!J:J)*C3*1.25), "-")</f>
        <v>-</v>
      </c>
      <c r="K3" s="8" t="str">
        <f>IFERROR(LOOKUP(J3,Reagents!$B:$B,Reagents!$C:$C), "-")</f>
        <v>-</v>
      </c>
      <c r="L3" s="58" t="str">
        <f>IFERROR(LOOKUP(J3,Reagents!$B:$B,Reagents!$F:$F)*LOOKUP(J3,Reagents!$B:$B,Reagents!$J:$J)*$C$3/1000*1.25, "-")</f>
        <v>-</v>
      </c>
      <c r="M3" s="209" t="str">
        <f>IFERROR(IF(LOOKUP(J3,Reagents!$B:$B,Reagents!$I:$I)=0,'Stock Solution Calculator'!L3/LOOKUP('Stock Solution Calculator'!J3,Reagents!$B:$B,Reagents!$H:$H),LOOKUP(J3,Reagents!$B:$B,Reagents!$I:$I)*LOOKUP(J3,Reagents!$B:$B,Reagents!$J:$J)*$C3*1.25), "-")</f>
        <v>-</v>
      </c>
      <c r="O3" s="124" t="str">
        <f>IFERROR(LOOKUP(N3,Reagents!$B:$B,Reagents!$C:$C), "-")</f>
        <v>-</v>
      </c>
      <c r="P3" s="121" t="str">
        <f>IFERROR(LOOKUP(N3,Reagents!$B:$B,Reagents!$F:$F)*LOOKUP(N3,Reagents!$B:$B,Reagents!$J:$J)*$C$3/1000*1.25, "-")</f>
        <v>-</v>
      </c>
      <c r="Q3" s="209" t="str">
        <f>IFERROR(IF(LOOKUP(N3,Reagents!$B:$B,Reagents!$I:$I)=0,'Stock Solution Calculator'!P3/LOOKUP('Stock Solution Calculator'!N3,Reagents!$B:$B,Reagents!$H:$H),LOOKUP(N3,Reagents!$B:$B,Reagents!$I:$I)*LOOKUP(N3,Reagents!$B:$B,Reagents!$J:$J)*$C3*1.25), "-")</f>
        <v>-</v>
      </c>
      <c r="S3" s="124" t="str">
        <f>IFERROR(LOOKUP(R3,Reagents!$B:$B,Reagents!$C:$C), "-")</f>
        <v>-</v>
      </c>
      <c r="T3" s="121" t="str">
        <f>IFERROR(LOOKUP(R3,Reagents!$B:$B,Reagents!$F:$F)*LOOKUP(R3,Reagents!$B:$B,Reagents!$J:$J)*$C$3/1000*1.25, "-")</f>
        <v>-</v>
      </c>
      <c r="U3" s="217" t="str">
        <f>IFERROR(IF(LOOKUP(R3,Reagents!$B:$B,Reagents!$I:$I)=0,'Stock Solution Calculator'!T3/LOOKUP('Stock Solution Calculator'!R3,Reagents!$B:$B,Reagents!$H:$H),LOOKUP(R3,Reagents!$B:$B,Reagents!$I:$I)*LOOKUP(R3,Reagents!$B:$B,Reagents!$J:$J)*$C3*1.25), "-")</f>
        <v>-</v>
      </c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</row>
    <row r="4" spans="1:53" s="22" customFormat="1">
      <c r="A4" s="37">
        <v>2</v>
      </c>
      <c r="C4" s="36"/>
      <c r="D4" s="19"/>
      <c r="E4" s="52">
        <f t="shared" ref="E4:E22" si="0">1.25*D4*C4/1000</f>
        <v>0</v>
      </c>
      <c r="G4" s="21" t="str">
        <f>IFERROR(LOOKUP('Stock Solution Calculator'!F4,Reagents!B:B,Reagents!C:C), "-")</f>
        <v>-</v>
      </c>
      <c r="H4" s="59" t="str">
        <f>IFERROR(LOOKUP(F4,Reagents!B:B,Reagents!F:F)*LOOKUP(F4,Reagents!B:B,Reagents!J:J)*C4/1000*1.25, "-")</f>
        <v>-</v>
      </c>
      <c r="I4" s="210" t="str">
        <f>IFERROR(IF(LOOKUP(F4,Reagents!B:B,Reagents!I:I)=0,'Stock Solution Calculator'!H4/LOOKUP('Stock Solution Calculator'!F4,Reagents!B:B,Reagents!H:H),LOOKUP(F4,Reagents!B:B,Reagents!I:I)*LOOKUP(F4,Reagents!B:B,Reagents!J:J)*C4*1.25), "-")</f>
        <v>-</v>
      </c>
      <c r="K4" s="21" t="str">
        <f>IFERROR(LOOKUP(J4,Reagents!$B:$B,Reagents!$C:$C), "-")</f>
        <v>-</v>
      </c>
      <c r="L4" s="59" t="str">
        <f>IFERROR(LOOKUP(J4,Reagents!B:B,Reagents!F:F)*LOOKUP(J4,Reagents!B:B,Reagents!J:J)*C4/1000*1.25, "-")</f>
        <v>-</v>
      </c>
      <c r="M4" s="214" t="str">
        <f>IFERROR(IF(LOOKUP(J4,Reagents!$B:$B,Reagents!$I:$I)=0,'Stock Solution Calculator'!L4/LOOKUP('Stock Solution Calculator'!J4,Reagents!$B:$B,Reagents!$H:$H),LOOKUP(J4,Reagents!$B:$B,Reagents!$I:$I)*LOOKUP(J4,Reagents!$B:$B,Reagents!$J:$J)*$C4*1.25), "-")</f>
        <v>-</v>
      </c>
      <c r="O4" s="125" t="str">
        <f>IFERROR(LOOKUP(N4,Reagents!$B:$B,Reagents!$C:$C), "-")</f>
        <v>-</v>
      </c>
      <c r="P4" s="122" t="str">
        <f>IFERROR(LOOKUP(N4,Reagents!$B:$B,Reagents!$F:$F)*LOOKUP(N4,Reagents!$B:$B,Reagents!$J:$J)*$C$3/1000*1.25, "-")</f>
        <v>-</v>
      </c>
      <c r="Q4" s="214" t="str">
        <f>IFERROR(IF(LOOKUP(N4,Reagents!$B:$B,Reagents!$I:$I)=0,'Stock Solution Calculator'!P4/LOOKUP('Stock Solution Calculator'!N4,Reagents!$B:$B,Reagents!$H:$H),LOOKUP(N4,Reagents!$B:$B,Reagents!$I:$I)*LOOKUP(N4,Reagents!$B:$B,Reagents!$J:$J)*$C4*1.25), "-")</f>
        <v>-</v>
      </c>
      <c r="S4" s="125" t="str">
        <f>IFERROR(LOOKUP(R4,Reagents!$B:$B,Reagents!$C:$C), "-")</f>
        <v>-</v>
      </c>
      <c r="T4" s="122" t="str">
        <f>IFERROR(LOOKUP(R4,Reagents!$B:$B,Reagents!$F:$F)*LOOKUP(R4,Reagents!$B:$B,Reagents!$J:$J)*$C$3/1000*1.25, "-")</f>
        <v>-</v>
      </c>
      <c r="U4" s="212" t="str">
        <f>IFERROR(IF(LOOKUP(R4,Reagents!$B:$B,Reagents!$I:$I)=0,'Stock Solution Calculator'!T4/LOOKUP('Stock Solution Calculator'!R4,Reagents!$B:$B,Reagents!$H:$H),LOOKUP(R4,Reagents!$B:$B,Reagents!$I:$I)*LOOKUP(R4,Reagents!$B:$B,Reagents!$J:$J)*$C4*1.25), "-")</f>
        <v>-</v>
      </c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</row>
    <row r="5" spans="1:53" s="22" customFormat="1">
      <c r="A5" s="37">
        <v>3</v>
      </c>
      <c r="C5" s="36"/>
      <c r="D5" s="19"/>
      <c r="E5" s="52">
        <f t="shared" si="0"/>
        <v>0</v>
      </c>
      <c r="G5" s="21" t="str">
        <f>IFERROR(LOOKUP('Stock Solution Calculator'!F5,Reagents!B:B,Reagents!C:C), "-")</f>
        <v>-</v>
      </c>
      <c r="H5" s="59" t="str">
        <f>IFERROR(LOOKUP(F5,Reagents!B:B,Reagents!F:F)*LOOKUP(F5,Reagents!B:B,Reagents!J:J)*C5/1000*1.25, "-")</f>
        <v>-</v>
      </c>
      <c r="I5" s="210" t="str">
        <f>IFERROR(IF(LOOKUP(F5,Reagents!B:B,Reagents!I:I)=0,'Stock Solution Calculator'!H5/LOOKUP('Stock Solution Calculator'!F5,Reagents!B:B,Reagents!H:H),LOOKUP(F5,Reagents!B:B,Reagents!I:I)*LOOKUP(F5,Reagents!B:B,Reagents!J:J)*C5*1.25), "-")</f>
        <v>-</v>
      </c>
      <c r="K5" s="21" t="str">
        <f>IFERROR(LOOKUP(J5,Reagents!$B:$B,Reagents!$C:$C), "-")</f>
        <v>-</v>
      </c>
      <c r="L5" s="59" t="str">
        <f>IFERROR(LOOKUP(J5,Reagents!B:B,Reagents!F:F)*LOOKUP(J5,Reagents!B:B,Reagents!J:J)*C5/1000*1.25, "-")</f>
        <v>-</v>
      </c>
      <c r="M5" s="210" t="str">
        <f>IFERROR(IF(LOOKUP(J5,Reagents!$B:$B,Reagents!$I:$I)=0,'Stock Solution Calculator'!L5/LOOKUP('Stock Solution Calculator'!J5,Reagents!$B:$B,Reagents!$H:$H),LOOKUP(J5,Reagents!$B:$B,Reagents!$I:$I)*LOOKUP(J5,Reagents!$B:$B,Reagents!$J:$J)*$C5*1.25), "-")</f>
        <v>-</v>
      </c>
      <c r="O5" s="125" t="str">
        <f>IFERROR(LOOKUP(N5,Reagents!$B:$B,Reagents!$C:$C), "-")</f>
        <v>-</v>
      </c>
      <c r="P5" s="122" t="str">
        <f>IFERROR(LOOKUP(N5,Reagents!$B:$B,Reagents!$F:$F)*LOOKUP(N5,Reagents!$B:$B,Reagents!$J:$J)*$C$3/1000*1.25, "-")</f>
        <v>-</v>
      </c>
      <c r="Q5" s="210" t="str">
        <f>IFERROR(IF(LOOKUP(N5,Reagents!$B:$B,Reagents!$I:$I)=0,'Stock Solution Calculator'!P5/LOOKUP('Stock Solution Calculator'!N5,Reagents!$B:$B,Reagents!$H:$H),LOOKUP(N5,Reagents!$B:$B,Reagents!$I:$I)*LOOKUP(N5,Reagents!$B:$B,Reagents!$J:$J)*$C5*1.25), "-")</f>
        <v>-</v>
      </c>
      <c r="S5" s="125" t="str">
        <f>IFERROR(LOOKUP(R5,Reagents!$B:$B,Reagents!$C:$C), "-")</f>
        <v>-</v>
      </c>
      <c r="T5" s="122" t="str">
        <f>IFERROR(LOOKUP(R5,Reagents!$B:$B,Reagents!$F:$F)*LOOKUP(R5,Reagents!$B:$B,Reagents!$J:$J)*$C$3/1000*1.25, "-")</f>
        <v>-</v>
      </c>
      <c r="U5" s="212" t="str">
        <f>IFERROR(IF(LOOKUP(R5,Reagents!$B:$B,Reagents!$I:$I)=0,'Stock Solution Calculator'!T5/LOOKUP('Stock Solution Calculator'!R5,Reagents!$B:$B,Reagents!$H:$H),LOOKUP(R5,Reagents!$B:$B,Reagents!$I:$I)*LOOKUP(R5,Reagents!$B:$B,Reagents!$J:$J)*$C5*1.25), "-")</f>
        <v>-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</row>
    <row r="6" spans="1:53" s="22" customFormat="1">
      <c r="A6" s="37">
        <v>4</v>
      </c>
      <c r="C6" s="36"/>
      <c r="D6" s="19"/>
      <c r="E6" s="52">
        <f t="shared" si="0"/>
        <v>0</v>
      </c>
      <c r="G6" s="21" t="str">
        <f>IFERROR(LOOKUP('Stock Solution Calculator'!F6,Reagents!B:B,Reagents!C:C), "-")</f>
        <v>-</v>
      </c>
      <c r="H6" s="59" t="str">
        <f>IFERROR(LOOKUP(F6,Reagents!B:B,Reagents!F:F)*LOOKUP(F6,Reagents!B:B,Reagents!J:J)*C6/1000*1.25, "-")</f>
        <v>-</v>
      </c>
      <c r="I6" s="211" t="str">
        <f>IFERROR(IF(LOOKUP(F6,Reagents!B:B,Reagents!I:I)=0,'Stock Solution Calculator'!H6/LOOKUP('Stock Solution Calculator'!F6,Reagents!B:B,Reagents!H:H),LOOKUP(F6,Reagents!B:B,Reagents!I:I)*LOOKUP(F6,Reagents!B:B,Reagents!J:J)*C6*1.25), "-")</f>
        <v>-</v>
      </c>
      <c r="K6" s="21" t="str">
        <f>IFERROR(LOOKUP(J6,Reagents!$B:$B,Reagents!$C:$C), "-")</f>
        <v>-</v>
      </c>
      <c r="L6" s="59" t="str">
        <f>IFERROR(LOOKUP(J6,Reagents!B:B,Reagents!F:F)*LOOKUP(J6,Reagents!B:B,Reagents!J:J)*C6/1000*1.25, "-")</f>
        <v>-</v>
      </c>
      <c r="M6" s="215" t="str">
        <f>IFERROR(IF(LOOKUP(J6,Reagents!$B:$B,Reagents!$I:$I)=0,'Stock Solution Calculator'!L6/LOOKUP('Stock Solution Calculator'!J6,Reagents!$B:$B,Reagents!$H:$H),LOOKUP(J6,Reagents!$B:$B,Reagents!$I:$I)*LOOKUP(J6,Reagents!$B:$B,Reagents!$J:$J)*$C6*1.25), "-")</f>
        <v>-</v>
      </c>
      <c r="O6" s="125" t="str">
        <f>IFERROR(LOOKUP(N6,Reagents!$B:$B,Reagents!$C:$C), "-")</f>
        <v>-</v>
      </c>
      <c r="P6" s="122" t="str">
        <f>IFERROR(LOOKUP(N6,Reagents!$B:$B,Reagents!$F:$F)*LOOKUP(N6,Reagents!$B:$B,Reagents!$J:$J)*$C$3/1000*1.25, "-")</f>
        <v>-</v>
      </c>
      <c r="Q6" s="210" t="str">
        <f>IFERROR(IF(LOOKUP(N6,Reagents!$B:$B,Reagents!$I:$I)=0,'Stock Solution Calculator'!P6/LOOKUP('Stock Solution Calculator'!N6,Reagents!$B:$B,Reagents!$H:$H),LOOKUP(N6,Reagents!$B:$B,Reagents!$I:$I)*LOOKUP(N6,Reagents!$B:$B,Reagents!$J:$J)*$C6*1.25), "-")</f>
        <v>-</v>
      </c>
      <c r="S6" s="125" t="str">
        <f>IFERROR(LOOKUP(R6,Reagents!$B:$B,Reagents!$C:$C), "-")</f>
        <v>-</v>
      </c>
      <c r="T6" s="122" t="str">
        <f>IFERROR(LOOKUP(R6,Reagents!$B:$B,Reagents!$F:$F)*LOOKUP(R6,Reagents!$B:$B,Reagents!$J:$J)*$C$3/1000*1.25, "-")</f>
        <v>-</v>
      </c>
      <c r="U6" s="210" t="str">
        <f>IFERROR(IF(LOOKUP(R6,Reagents!$B:$B,Reagents!$I:$I)=0,'Stock Solution Calculator'!T6/LOOKUP('Stock Solution Calculator'!R6,Reagents!$B:$B,Reagents!$H:$H),LOOKUP(R6,Reagents!$B:$B,Reagents!$I:$I)*LOOKUP(R6,Reagents!$B:$B,Reagents!$J:$J)*$C6*1.25), "-")</f>
        <v>-</v>
      </c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</row>
    <row r="7" spans="1:53" s="22" customFormat="1">
      <c r="A7" s="37">
        <v>5</v>
      </c>
      <c r="C7" s="36"/>
      <c r="D7" s="19"/>
      <c r="E7" s="52">
        <f t="shared" si="0"/>
        <v>0</v>
      </c>
      <c r="G7" s="21" t="str">
        <f>IFERROR(LOOKUP('Stock Solution Calculator'!F7,Reagents!B:B,Reagents!C:C), "-")</f>
        <v>-</v>
      </c>
      <c r="H7" s="59" t="str">
        <f>IFERROR(LOOKUP(F7,Reagents!B:B,Reagents!F:F)*LOOKUP(F7,Reagents!B:B,Reagents!J:J)*C7/1000*1.25, "-")</f>
        <v>-</v>
      </c>
      <c r="I7" s="212" t="str">
        <f>IFERROR(IF(LOOKUP(F7,Reagents!B:B,Reagents!I:I)=0,'Stock Solution Calculator'!H7/LOOKUP('Stock Solution Calculator'!F7,Reagents!B:B,Reagents!H:H),LOOKUP(F7,Reagents!B:B,Reagents!I:I)*LOOKUP(F7,Reagents!B:B,Reagents!J:J)*C7*1.25), "-")</f>
        <v>-</v>
      </c>
      <c r="K7" s="21" t="str">
        <f>IFERROR(LOOKUP(J7,Reagents!$B:$B,Reagents!$C:$C), "-")</f>
        <v>-</v>
      </c>
      <c r="L7" s="59" t="str">
        <f>IFERROR(LOOKUP(J7,Reagents!B:B,Reagents!F:F)*LOOKUP(J7,Reagents!B:B,Reagents!J:J)*C7/1000*1.25, "-")</f>
        <v>-</v>
      </c>
      <c r="M7" s="215" t="str">
        <f>IFERROR(IF(LOOKUP(J7,Reagents!$B:$B,Reagents!$I:$I)=0,'Stock Solution Calculator'!L7/LOOKUP('Stock Solution Calculator'!J7,Reagents!$B:$B,Reagents!$H:$H),LOOKUP(J7,Reagents!$B:$B,Reagents!$I:$I)*LOOKUP(J7,Reagents!$B:$B,Reagents!$J:$J)*$C7*1.25), "-")</f>
        <v>-</v>
      </c>
      <c r="O7" s="125" t="str">
        <f>IFERROR(LOOKUP(N7,Reagents!$B:$B,Reagents!$C:$C), "-")</f>
        <v>-</v>
      </c>
      <c r="P7" s="122" t="str">
        <f>IFERROR(LOOKUP(N7,Reagents!$B:$B,Reagents!$F:$F)*LOOKUP(N7,Reagents!$B:$B,Reagents!$J:$J)*$C$3/1000*1.25, "-")</f>
        <v>-</v>
      </c>
      <c r="Q7" s="210" t="str">
        <f>IFERROR(IF(LOOKUP(N7,Reagents!$B:$B,Reagents!$I:$I)=0,'Stock Solution Calculator'!P7/LOOKUP('Stock Solution Calculator'!N7,Reagents!$B:$B,Reagents!$H:$H),LOOKUP(N7,Reagents!$B:$B,Reagents!$I:$I)*LOOKUP(N7,Reagents!$B:$B,Reagents!$J:$J)*$C7*1.25), "-")</f>
        <v>-</v>
      </c>
      <c r="S7" s="125" t="str">
        <f>IFERROR(LOOKUP(R7,Reagents!$B:$B,Reagents!$C:$C), "-")</f>
        <v>-</v>
      </c>
      <c r="T7" s="122" t="str">
        <f>IFERROR(LOOKUP(R7,Reagents!$B:$B,Reagents!$F:$F)*LOOKUP(R7,Reagents!$B:$B,Reagents!$J:$J)*$C$3/1000*1.25, "-")</f>
        <v>-</v>
      </c>
      <c r="U7" s="210" t="str">
        <f>IFERROR(IF(LOOKUP(R7,Reagents!$B:$B,Reagents!$I:$I)=0,'Stock Solution Calculator'!T7/LOOKUP('Stock Solution Calculator'!R7,Reagents!$B:$B,Reagents!$H:$H),LOOKUP(R7,Reagents!$B:$B,Reagents!$I:$I)*LOOKUP(R7,Reagents!$B:$B,Reagents!$J:$J)*$C7*1.25), "-")</f>
        <v>-</v>
      </c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</row>
    <row r="8" spans="1:53" s="22" customFormat="1">
      <c r="A8" s="37">
        <v>6</v>
      </c>
      <c r="C8" s="36"/>
      <c r="D8" s="19"/>
      <c r="E8" s="52">
        <f t="shared" si="0"/>
        <v>0</v>
      </c>
      <c r="G8" s="21" t="str">
        <f>IFERROR(LOOKUP('Stock Solution Calculator'!F8,Reagents!B:B,Reagents!C:C), "-")</f>
        <v>-</v>
      </c>
      <c r="H8" s="59" t="str">
        <f>IFERROR(LOOKUP(F8,Reagents!B:B,Reagents!F:F)*LOOKUP(F8,Reagents!B:B,Reagents!J:J)*C8/1000*1.25, "-")</f>
        <v>-</v>
      </c>
      <c r="I8" s="212" t="str">
        <f>IFERROR(IF(LOOKUP(F8,Reagents!B:B,Reagents!I:I)=0,'Stock Solution Calculator'!H8/LOOKUP('Stock Solution Calculator'!F8,Reagents!B:B,Reagents!H:H),LOOKUP(F8,Reagents!B:B,Reagents!I:I)*LOOKUP(F8,Reagents!B:B,Reagents!J:J)*C8*1.25), "-")</f>
        <v>-</v>
      </c>
      <c r="K8" s="21" t="str">
        <f>IFERROR(LOOKUP(J8,Reagents!$B:$B,Reagents!$C:$C), "-")</f>
        <v>-</v>
      </c>
      <c r="L8" s="59" t="str">
        <f>IFERROR(LOOKUP(J8,Reagents!B:B,Reagents!F:F)*LOOKUP(J8,Reagents!B:B,Reagents!J:J)*C8/1000*1.25, "-")</f>
        <v>-</v>
      </c>
      <c r="M8" s="214" t="str">
        <f>IFERROR(IF(LOOKUP(J8,Reagents!$B:$B,Reagents!$I:$I)=0,'Stock Solution Calculator'!L8/LOOKUP('Stock Solution Calculator'!J8,Reagents!$B:$B,Reagents!$H:$H),LOOKUP(J8,Reagents!$B:$B,Reagents!$I:$I)*LOOKUP(J8,Reagents!$B:$B,Reagents!$J:$J)*$C8*1.25), "-")</f>
        <v>-</v>
      </c>
      <c r="O8" s="125" t="str">
        <f>IFERROR(LOOKUP(N8,Reagents!$B:$B,Reagents!$C:$C), "-")</f>
        <v>-</v>
      </c>
      <c r="P8" s="122" t="str">
        <f>IFERROR(LOOKUP(N8,Reagents!$B:$B,Reagents!$F:$F)*LOOKUP(N8,Reagents!$B:$B,Reagents!$J:$J)*$C$3/1000*1.25, "-")</f>
        <v>-</v>
      </c>
      <c r="Q8" s="210" t="str">
        <f>IFERROR(IF(LOOKUP(N8,Reagents!$B:$B,Reagents!$I:$I)=0,'Stock Solution Calculator'!P8/LOOKUP('Stock Solution Calculator'!N8,Reagents!$B:$B,Reagents!$H:$H),LOOKUP(N8,Reagents!$B:$B,Reagents!$I:$I)*LOOKUP(N8,Reagents!$B:$B,Reagents!$J:$J)*$C8*1.25), "-")</f>
        <v>-</v>
      </c>
      <c r="S8" s="125" t="str">
        <f>IFERROR(LOOKUP(R8,Reagents!$B:$B,Reagents!$C:$C), "-")</f>
        <v>-</v>
      </c>
      <c r="T8" s="122" t="str">
        <f>IFERROR(LOOKUP(R8,Reagents!$B:$B,Reagents!$F:$F)*LOOKUP(R8,Reagents!$B:$B,Reagents!$J:$J)*$C$3/1000*1.25, "-")</f>
        <v>-</v>
      </c>
      <c r="U8" s="214" t="str">
        <f>IFERROR(IF(LOOKUP(R8,Reagents!$B:$B,Reagents!$I:$I)=0,'Stock Solution Calculator'!T8/LOOKUP('Stock Solution Calculator'!R8,Reagents!$B:$B,Reagents!$H:$H),LOOKUP(R8,Reagents!$B:$B,Reagents!$I:$I)*LOOKUP(R8,Reagents!$B:$B,Reagents!$J:$J)*$C8*1.25), "-")</f>
        <v>-</v>
      </c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</row>
    <row r="9" spans="1:53" s="22" customFormat="1">
      <c r="A9" s="37">
        <v>7</v>
      </c>
      <c r="C9" s="36"/>
      <c r="D9" s="19"/>
      <c r="E9" s="52">
        <f t="shared" si="0"/>
        <v>0</v>
      </c>
      <c r="G9" s="21" t="str">
        <f>IFERROR(LOOKUP('Stock Solution Calculator'!F9,Reagents!B:B,Reagents!C:C), "-")</f>
        <v>-</v>
      </c>
      <c r="H9" s="59" t="str">
        <f>IFERROR(LOOKUP(F9,Reagents!B:B,Reagents!F:F)*LOOKUP(F9,Reagents!B:B,Reagents!J:J)*C9/1000*1.25, "-")</f>
        <v>-</v>
      </c>
      <c r="I9" s="212" t="str">
        <f>IFERROR(IF(LOOKUP(F9,Reagents!B:B,Reagents!I:I)=0,'Stock Solution Calculator'!H9/LOOKUP('Stock Solution Calculator'!F9,Reagents!B:B,Reagents!H:H),LOOKUP(F9,Reagents!B:B,Reagents!I:I)*LOOKUP(F9,Reagents!B:B,Reagents!J:J)*C9*1.25), "-")</f>
        <v>-</v>
      </c>
      <c r="K9" s="21" t="str">
        <f>IFERROR(LOOKUP(J9,Reagents!$B:$B,Reagents!$C:$C), "-")</f>
        <v>-</v>
      </c>
      <c r="L9" s="59" t="str">
        <f>IFERROR(LOOKUP(J9,Reagents!B:B,Reagents!F:F)*LOOKUP(J9,Reagents!B:B,Reagents!J:J)*C9/1000*1.25, "-")</f>
        <v>-</v>
      </c>
      <c r="M9" s="210" t="str">
        <f>IFERROR(IF(LOOKUP(J9,Reagents!$B:$B,Reagents!$I:$I)=0,'Stock Solution Calculator'!L9/LOOKUP('Stock Solution Calculator'!J9,Reagents!$B:$B,Reagents!$H:$H),LOOKUP(J9,Reagents!$B:$B,Reagents!$I:$I)*LOOKUP(J9,Reagents!$B:$B,Reagents!$J:$J)*$C9*1.25), "-")</f>
        <v>-</v>
      </c>
      <c r="O9" s="125" t="str">
        <f>IFERROR(LOOKUP(N9,Reagents!$B:$B,Reagents!$C:$C), "-")</f>
        <v>-</v>
      </c>
      <c r="P9" s="122" t="str">
        <f>IFERROR(LOOKUP(N9,Reagents!$B:$B,Reagents!$F:$F)*LOOKUP(N9,Reagents!$B:$B,Reagents!$J:$J)*$C$3/1000*1.25, "-")</f>
        <v>-</v>
      </c>
      <c r="Q9" s="210" t="str">
        <f>IFERROR(IF(LOOKUP(N9,Reagents!$B:$B,Reagents!$I:$I)=0,'Stock Solution Calculator'!P9/LOOKUP('Stock Solution Calculator'!N9,Reagents!$B:$B,Reagents!$H:$H),LOOKUP(N9,Reagents!$B:$B,Reagents!$I:$I)*LOOKUP(N9,Reagents!$B:$B,Reagents!$J:$J)*$C9*1.25), "-")</f>
        <v>-</v>
      </c>
      <c r="S9" s="125" t="str">
        <f>IFERROR(LOOKUP(R9,Reagents!$B:$B,Reagents!$C:$C), "-")</f>
        <v>-</v>
      </c>
      <c r="T9" s="122" t="str">
        <f>IFERROR(LOOKUP(R9,Reagents!$B:$B,Reagents!$F:$F)*LOOKUP(R9,Reagents!$B:$B,Reagents!$J:$J)*$C$3/1000*1.25, "-")</f>
        <v>-</v>
      </c>
      <c r="U9" s="210" t="str">
        <f>IFERROR(IF(LOOKUP(R9,Reagents!$B:$B,Reagents!$I:$I)=0,'Stock Solution Calculator'!T9/LOOKUP('Stock Solution Calculator'!R9,Reagents!$B:$B,Reagents!$H:$H),LOOKUP(R9,Reagents!$B:$B,Reagents!$I:$I)*LOOKUP(R9,Reagents!$B:$B,Reagents!$J:$J)*$C9*1.25), "-")</f>
        <v>-</v>
      </c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</row>
    <row r="10" spans="1:53" s="22" customFormat="1">
      <c r="A10" s="37">
        <v>8</v>
      </c>
      <c r="C10" s="36"/>
      <c r="D10" s="19"/>
      <c r="E10" s="52">
        <f t="shared" si="0"/>
        <v>0</v>
      </c>
      <c r="G10" s="21" t="str">
        <f>IFERROR(LOOKUP('Stock Solution Calculator'!F10,Reagents!B:B,Reagents!C:C), "-")</f>
        <v>-</v>
      </c>
      <c r="H10" s="59" t="str">
        <f>IFERROR(LOOKUP(F10,Reagents!B:B,Reagents!F:F)*LOOKUP(F10,Reagents!B:B,Reagents!J:J)*C10/1000*1.25, "-")</f>
        <v>-</v>
      </c>
      <c r="I10" s="212" t="str">
        <f>IFERROR(IF(LOOKUP(F10,Reagents!B:B,Reagents!I:I)=0,'Stock Solution Calculator'!H10/LOOKUP('Stock Solution Calculator'!F10,Reagents!B:B,Reagents!H:H),LOOKUP(F10,Reagents!B:B,Reagents!I:I)*LOOKUP(F10,Reagents!B:B,Reagents!J:J)*C10*1.25), "-")</f>
        <v>-</v>
      </c>
      <c r="K10" s="21" t="str">
        <f>IFERROR(LOOKUP(J10,Reagents!$B:$B,Reagents!$C:$C), "-")</f>
        <v>-</v>
      </c>
      <c r="L10" s="59" t="str">
        <f>IFERROR(LOOKUP(J10,Reagents!B:B,Reagents!F:F)*LOOKUP(J10,Reagents!B:B,Reagents!J:J)*C10/1000*1.25, "-")</f>
        <v>-</v>
      </c>
      <c r="M10" s="215" t="str">
        <f>IFERROR(IF(LOOKUP(J10,Reagents!$B:$B,Reagents!$I:$I)=0,'Stock Solution Calculator'!L10/LOOKUP('Stock Solution Calculator'!J10,Reagents!$B:$B,Reagents!$H:$H),LOOKUP(J10,Reagents!$B:$B,Reagents!$I:$I)*LOOKUP(J10,Reagents!$B:$B,Reagents!$J:$J)*$C10*1.25), "-")</f>
        <v>-</v>
      </c>
      <c r="O10" s="125" t="str">
        <f>IFERROR(LOOKUP(N10,Reagents!$B:$B,Reagents!$C:$C), "-")</f>
        <v>-</v>
      </c>
      <c r="P10" s="122" t="str">
        <f>IFERROR(LOOKUP(N10,Reagents!$B:$B,Reagents!$F:$F)*LOOKUP(N10,Reagents!$B:$B,Reagents!$J:$J)*$C$3/1000*1.25, "-")</f>
        <v>-</v>
      </c>
      <c r="Q10" s="210" t="str">
        <f>IFERROR(IF(LOOKUP(N10,Reagents!$B:$B,Reagents!$I:$I)=0,'Stock Solution Calculator'!P10/LOOKUP('Stock Solution Calculator'!N10,Reagents!$B:$B,Reagents!$H:$H),LOOKUP(N10,Reagents!$B:$B,Reagents!$I:$I)*LOOKUP(N10,Reagents!$B:$B,Reagents!$J:$J)*$C10*1.25), "-")</f>
        <v>-</v>
      </c>
      <c r="S10" s="125" t="str">
        <f>IFERROR(LOOKUP(R10,Reagents!$B:$B,Reagents!$C:$C), "-")</f>
        <v>-</v>
      </c>
      <c r="T10" s="122" t="str">
        <f>IFERROR(LOOKUP(R10,Reagents!$B:$B,Reagents!$F:$F)*LOOKUP(R10,Reagents!$B:$B,Reagents!$J:$J)*$C$3/1000*1.25, "-")</f>
        <v>-</v>
      </c>
      <c r="U10" s="214" t="str">
        <f>IFERROR(IF(LOOKUP(R10,Reagents!$B:$B,Reagents!$I:$I)=0,'Stock Solution Calculator'!T10/LOOKUP('Stock Solution Calculator'!R10,Reagents!$B:$B,Reagents!$H:$H),LOOKUP(R10,Reagents!$B:$B,Reagents!$I:$I)*LOOKUP(R10,Reagents!$B:$B,Reagents!$J:$J)*$C10*1.25), "-")</f>
        <v>-</v>
      </c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</row>
    <row r="11" spans="1:53" s="13" customFormat="1">
      <c r="A11" s="20">
        <v>9</v>
      </c>
      <c r="C11" s="19"/>
      <c r="D11" s="19"/>
      <c r="E11" s="51">
        <f t="shared" si="0"/>
        <v>0</v>
      </c>
      <c r="G11" s="8" t="str">
        <f>IFERROR(LOOKUP('Stock Solution Calculator'!F11,Reagents!B:B,Reagents!C:C), "-")</f>
        <v>-</v>
      </c>
      <c r="H11" s="58" t="str">
        <f>IFERROR(LOOKUP(F11,Reagents!B:B,Reagents!F:F)*LOOKUP(F11,Reagents!B:B,Reagents!J:J)*C11/1000*1.25, "-")</f>
        <v>-</v>
      </c>
      <c r="I11" s="212" t="str">
        <f>IFERROR(IF(LOOKUP(F11,Reagents!B:B,Reagents!I:I)=0,'Stock Solution Calculator'!H11/LOOKUP('Stock Solution Calculator'!F11,Reagents!B:B,Reagents!H:H),LOOKUP(F11,Reagents!B:B,Reagents!I:I)*LOOKUP(F11,Reagents!B:B,Reagents!J:J)*C11*1.25), "-")</f>
        <v>-</v>
      </c>
      <c r="K11" s="8" t="str">
        <f>IFERROR(LOOKUP(J11,Reagents!$B:$B,Reagents!$C:$C), "-")</f>
        <v>-</v>
      </c>
      <c r="L11" s="58" t="str">
        <f>IFERROR(LOOKUP(J11,Reagents!B:B,Reagents!F:F)*LOOKUP(J11,Reagents!B:B,Reagents!J:J)*C11/1000*1.25, "-")</f>
        <v>-</v>
      </c>
      <c r="M11" s="214" t="str">
        <f>IFERROR(IF(LOOKUP(J11,Reagents!$B:$B,Reagents!$I:$I)=0,'Stock Solution Calculator'!L11/LOOKUP('Stock Solution Calculator'!J11,Reagents!$B:$B,Reagents!$H:$H),LOOKUP(J11,Reagents!$B:$B,Reagents!$I:$I)*LOOKUP(J11,Reagents!$B:$B,Reagents!$J:$J)*$C11*1.25), "-")</f>
        <v>-</v>
      </c>
      <c r="O11" s="124" t="str">
        <f>IFERROR(LOOKUP(N11,Reagents!$B:$B,Reagents!$C:$C), "-")</f>
        <v>-</v>
      </c>
      <c r="P11" s="121" t="str">
        <f>IFERROR(LOOKUP(N11,Reagents!$B:$B,Reagents!$F:$F)*LOOKUP(N11,Reagents!$B:$B,Reagents!$J:$J)*$C$3/1000*1.25, "-")</f>
        <v>-</v>
      </c>
      <c r="Q11" s="215" t="str">
        <f>IFERROR(IF(LOOKUP(N11,Reagents!$B:$B,Reagents!$I:$I)=0,'Stock Solution Calculator'!P11/LOOKUP('Stock Solution Calculator'!N11,Reagents!$B:$B,Reagents!$H:$H),LOOKUP(N11,Reagents!$B:$B,Reagents!$I:$I)*LOOKUP(N11,Reagents!$B:$B,Reagents!$J:$J)*$C11*1.25), "-")</f>
        <v>-</v>
      </c>
      <c r="S11" s="124" t="str">
        <f>IFERROR(LOOKUP(R11,Reagents!$B:$B,Reagents!$C:$C), "-")</f>
        <v>-</v>
      </c>
      <c r="T11" s="121" t="str">
        <f>IFERROR(LOOKUP(R11,Reagents!$B:$B,Reagents!$F:$F)*LOOKUP(R11,Reagents!$B:$B,Reagents!$J:$J)*$C$3/1000*1.25, "-")</f>
        <v>-</v>
      </c>
      <c r="U11" s="212" t="str">
        <f>IFERROR(IF(LOOKUP(R11,Reagents!$B:$B,Reagents!$I:$I)=0,'Stock Solution Calculator'!T11/LOOKUP('Stock Solution Calculator'!R11,Reagents!$B:$B,Reagents!$H:$H),LOOKUP(R11,Reagents!$B:$B,Reagents!$I:$I)*LOOKUP(R11,Reagents!$B:$B,Reagents!$J:$J)*$C11*1.25), "-")</f>
        <v>-</v>
      </c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</row>
    <row r="12" spans="1:53" s="22" customFormat="1">
      <c r="A12" s="37">
        <v>10</v>
      </c>
      <c r="C12" s="36"/>
      <c r="D12" s="19"/>
      <c r="E12" s="52">
        <f t="shared" si="0"/>
        <v>0</v>
      </c>
      <c r="G12" s="21" t="str">
        <f>IFERROR(LOOKUP('Stock Solution Calculator'!F12,Reagents!B:B,Reagents!C:C), "-")</f>
        <v>-</v>
      </c>
      <c r="H12" s="59" t="str">
        <f>IFERROR(LOOKUP(F12,Reagents!B:B,Reagents!F:F)*LOOKUP(F12,Reagents!B:B,Reagents!J:J)*C12/1000*1.25, "-")</f>
        <v>-</v>
      </c>
      <c r="I12" s="212" t="str">
        <f>IFERROR(IF(LOOKUP(F12,Reagents!B:B,Reagents!I:I)=0,'Stock Solution Calculator'!H12/LOOKUP('Stock Solution Calculator'!F12,Reagents!B:B,Reagents!H:H),LOOKUP(F12,Reagents!B:B,Reagents!I:I)*LOOKUP(F12,Reagents!B:B,Reagents!J:J)*C12*1.25), "-")</f>
        <v>-</v>
      </c>
      <c r="K12" s="21" t="str">
        <f>IFERROR(LOOKUP(J12,Reagents!$B:$B,Reagents!$C:$C), "-")</f>
        <v>-</v>
      </c>
      <c r="L12" s="59" t="str">
        <f>IFERROR(LOOKUP(J12,Reagents!B:B,Reagents!F:F)*LOOKUP(J12,Reagents!B:B,Reagents!J:J)*C12/1000*1.25, "-")</f>
        <v>-</v>
      </c>
      <c r="M12" s="210" t="str">
        <f>IFERROR(IF(LOOKUP(J12,Reagents!$B:$B,Reagents!$I:$I)=0,'Stock Solution Calculator'!L12/LOOKUP('Stock Solution Calculator'!J12,Reagents!$B:$B,Reagents!$H:$H),LOOKUP(J12,Reagents!$B:$B,Reagents!$I:$I)*LOOKUP(J12,Reagents!$B:$B,Reagents!$J:$J)*$C12*1.25), "-")</f>
        <v>-</v>
      </c>
      <c r="O12" s="125" t="str">
        <f>IFERROR(LOOKUP(N12,Reagents!$B:$B,Reagents!$C:$C), "-")</f>
        <v>-</v>
      </c>
      <c r="P12" s="122" t="str">
        <f>IFERROR(LOOKUP(N12,Reagents!$B:$B,Reagents!$F:$F)*LOOKUP(N12,Reagents!$B:$B,Reagents!$J:$J)*$C$3/1000*1.25, "-")</f>
        <v>-</v>
      </c>
      <c r="Q12" s="214" t="str">
        <f>IFERROR(IF(LOOKUP(N12,Reagents!$B:$B,Reagents!$I:$I)=0,'Stock Solution Calculator'!P12/LOOKUP('Stock Solution Calculator'!N12,Reagents!$B:$B,Reagents!$H:$H),LOOKUP(N12,Reagents!$B:$B,Reagents!$I:$I)*LOOKUP(N12,Reagents!$B:$B,Reagents!$J:$J)*$C12*1.25), "-")</f>
        <v>-</v>
      </c>
      <c r="S12" s="125" t="str">
        <f>IFERROR(LOOKUP(R12,Reagents!$B:$B,Reagents!$C:$C), "-")</f>
        <v>-</v>
      </c>
      <c r="T12" s="122" t="str">
        <f>IFERROR(LOOKUP(R12,Reagents!$B:$B,Reagents!$F:$F)*LOOKUP(R12,Reagents!$B:$B,Reagents!$J:$J)*$C$3/1000*1.25, "-")</f>
        <v>-</v>
      </c>
      <c r="U12" s="210" t="str">
        <f>IFERROR(IF(LOOKUP(R12,Reagents!$B:$B,Reagents!$I:$I)=0,'Stock Solution Calculator'!T12/LOOKUP('Stock Solution Calculator'!R12,Reagents!$B:$B,Reagents!$H:$H),LOOKUP(R12,Reagents!$B:$B,Reagents!$I:$I)*LOOKUP(R12,Reagents!$B:$B,Reagents!$J:$J)*$C12*1.25), "-")</f>
        <v>-</v>
      </c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</row>
    <row r="13" spans="1:53" s="22" customFormat="1">
      <c r="A13" s="37">
        <v>11</v>
      </c>
      <c r="C13" s="36"/>
      <c r="D13" s="36"/>
      <c r="E13" s="52">
        <f t="shared" si="0"/>
        <v>0</v>
      </c>
      <c r="G13" s="21" t="str">
        <f>IFERROR(LOOKUP('Stock Solution Calculator'!F13,Reagents!B:B,Reagents!C:C), "-")</f>
        <v>-</v>
      </c>
      <c r="H13" s="59" t="str">
        <f>IFERROR(LOOKUP(F13,Reagents!B:B,Reagents!F:F)*LOOKUP(F13,Reagents!B:B,Reagents!J:J)*C13/1000*1.25, "-")</f>
        <v>-</v>
      </c>
      <c r="I13" s="212" t="str">
        <f>IFERROR(IF(LOOKUP(F13,Reagents!B:B,Reagents!I:I)=0,'Stock Solution Calculator'!H13/LOOKUP('Stock Solution Calculator'!F13,Reagents!B:B,Reagents!H:H),LOOKUP(F13,Reagents!B:B,Reagents!I:I)*LOOKUP(F13,Reagents!B:B,Reagents!J:J)*C13*1.25), "-")</f>
        <v>-</v>
      </c>
      <c r="K13" s="21" t="str">
        <f>IFERROR(LOOKUP(J13,Reagents!$B:$B,Reagents!$C:$C), "-")</f>
        <v>-</v>
      </c>
      <c r="L13" s="59" t="str">
        <f>IFERROR(LOOKUP(J13,Reagents!B:B,Reagents!F:F)*LOOKUP(J13,Reagents!B:B,Reagents!J:J)*C13/1000*1.25, "-")</f>
        <v>-</v>
      </c>
      <c r="M13" s="215" t="str">
        <f>IFERROR(IF(LOOKUP(J13,Reagents!$B:$B,Reagents!$I:$I)=0,'Stock Solution Calculator'!L13/LOOKUP('Stock Solution Calculator'!J13,Reagents!$B:$B,Reagents!$H:$H),LOOKUP(J13,Reagents!$B:$B,Reagents!$I:$I)*LOOKUP(J13,Reagents!$B:$B,Reagents!$J:$J)*$C13*1.25), "-")</f>
        <v>-</v>
      </c>
      <c r="O13" s="125" t="str">
        <f>IFERROR(LOOKUP(N13,Reagents!$B:$B,Reagents!$C:$C), "-")</f>
        <v>-</v>
      </c>
      <c r="P13" s="122" t="str">
        <f>IFERROR(LOOKUP(N13,Reagents!$B:$B,Reagents!$F:$F)*LOOKUP(N13,Reagents!$B:$B,Reagents!$J:$J)*$C$3/1000*1.25, "-")</f>
        <v>-</v>
      </c>
      <c r="Q13" s="210" t="str">
        <f>IFERROR(IF(LOOKUP(N13,Reagents!$B:$B,Reagents!$I:$I)=0,'Stock Solution Calculator'!P13/LOOKUP('Stock Solution Calculator'!N13,Reagents!$B:$B,Reagents!$H:$H),LOOKUP(N13,Reagents!$B:$B,Reagents!$I:$I)*LOOKUP(N13,Reagents!$B:$B,Reagents!$J:$J)*$C13*1.25), "-")</f>
        <v>-</v>
      </c>
      <c r="S13" s="125" t="str">
        <f>IFERROR(LOOKUP(R13,Reagents!$B:$B,Reagents!$C:$C), "-")</f>
        <v>-</v>
      </c>
      <c r="T13" s="122" t="str">
        <f>IFERROR(LOOKUP(R13,Reagents!$B:$B,Reagents!$F:$F)*LOOKUP(R13,Reagents!$B:$B,Reagents!$J:$J)*$C$3/1000*1.25, "-")</f>
        <v>-</v>
      </c>
      <c r="U13" s="210" t="str">
        <f>IFERROR(IF(LOOKUP(R13,Reagents!$B:$B,Reagents!$I:$I)=0,'Stock Solution Calculator'!T13/LOOKUP('Stock Solution Calculator'!R13,Reagents!$B:$B,Reagents!$H:$H),LOOKUP(R13,Reagents!$B:$B,Reagents!$I:$I)*LOOKUP(R13,Reagents!$B:$B,Reagents!$J:$J)*$C13*1.25), "-")</f>
        <v>-</v>
      </c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</row>
    <row r="14" spans="1:53" s="22" customFormat="1">
      <c r="A14" s="37">
        <v>12</v>
      </c>
      <c r="C14" s="36"/>
      <c r="D14" s="36"/>
      <c r="E14" s="52">
        <f t="shared" si="0"/>
        <v>0</v>
      </c>
      <c r="G14" s="21" t="str">
        <f>IFERROR(LOOKUP('Stock Solution Calculator'!F14,Reagents!B:B,Reagents!C:C), "-")</f>
        <v>-</v>
      </c>
      <c r="H14" s="59" t="str">
        <f>IFERROR(LOOKUP(F14,Reagents!B:B,Reagents!F:F)*LOOKUP(F14,Reagents!B:B,Reagents!J:J)*C14/1000*1.25, "-")</f>
        <v>-</v>
      </c>
      <c r="I14" s="212" t="str">
        <f>IFERROR(IF(LOOKUP(F14,Reagents!B:B,Reagents!I:I)=0,'Stock Solution Calculator'!H14/LOOKUP('Stock Solution Calculator'!F14,Reagents!B:B,Reagents!H:H),LOOKUP(F14,Reagents!B:B,Reagents!I:I)*LOOKUP(F14,Reagents!B:B,Reagents!J:J)*C14*1.25), "-")</f>
        <v>-</v>
      </c>
      <c r="K14" s="21" t="str">
        <f>IFERROR(LOOKUP(J14,Reagents!$B:$B,Reagents!$C:$C), "-")</f>
        <v>-</v>
      </c>
      <c r="L14" s="59" t="str">
        <f>IFERROR(LOOKUP(J14,Reagents!B:B,Reagents!F:F)*LOOKUP(J14,Reagents!B:B,Reagents!J:J)*C14/1000*1.25, "-")</f>
        <v>-</v>
      </c>
      <c r="M14" s="214" t="str">
        <f>IFERROR(IF(LOOKUP(J14,Reagents!$B:$B,Reagents!$I:$I)=0,'Stock Solution Calculator'!L14/LOOKUP('Stock Solution Calculator'!J14,Reagents!$B:$B,Reagents!$H:$H),LOOKUP(J14,Reagents!$B:$B,Reagents!$I:$I)*LOOKUP(J14,Reagents!$B:$B,Reagents!$J:$J)*$C14*1.25), "-")</f>
        <v>-</v>
      </c>
      <c r="O14" s="125" t="str">
        <f>IFERROR(LOOKUP(N14,Reagents!$B:$B,Reagents!$C:$C), "-")</f>
        <v>-</v>
      </c>
      <c r="P14" s="122" t="str">
        <f>IFERROR(LOOKUP(N14,Reagents!$B:$B,Reagents!$F:$F)*LOOKUP(N14,Reagents!$B:$B,Reagents!$J:$J)*$C$3/1000*1.25, "-")</f>
        <v>-</v>
      </c>
      <c r="Q14" s="215" t="str">
        <f>IFERROR(IF(LOOKUP(N14,Reagents!$B:$B,Reagents!$I:$I)=0,'Stock Solution Calculator'!P14/LOOKUP('Stock Solution Calculator'!N14,Reagents!$B:$B,Reagents!$H:$H),LOOKUP(N14,Reagents!$B:$B,Reagents!$I:$I)*LOOKUP(N14,Reagents!$B:$B,Reagents!$J:$J)*$C14*1.25), "-")</f>
        <v>-</v>
      </c>
      <c r="S14" s="125" t="str">
        <f>IFERROR(LOOKUP(R14,Reagents!$B:$B,Reagents!$C:$C), "-")</f>
        <v>-</v>
      </c>
      <c r="T14" s="122" t="str">
        <f>IFERROR(LOOKUP(R14,Reagents!$B:$B,Reagents!$F:$F)*LOOKUP(R14,Reagents!$B:$B,Reagents!$J:$J)*$C$3/1000*1.25, "-")</f>
        <v>-</v>
      </c>
      <c r="U14" s="214" t="str">
        <f>IFERROR(IF(LOOKUP(R14,Reagents!$B:$B,Reagents!$I:$I)=0,'Stock Solution Calculator'!T14/LOOKUP('Stock Solution Calculator'!R14,Reagents!$B:$B,Reagents!$H:$H),LOOKUP(R14,Reagents!$B:$B,Reagents!$I:$I)*LOOKUP(R14,Reagents!$B:$B,Reagents!$J:$J)*$C14*1.25), "-")</f>
        <v>-</v>
      </c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</row>
    <row r="15" spans="1:53" s="22" customFormat="1">
      <c r="A15" s="37">
        <v>13</v>
      </c>
      <c r="C15" s="36"/>
      <c r="D15" s="36"/>
      <c r="E15" s="52">
        <f t="shared" si="0"/>
        <v>0</v>
      </c>
      <c r="G15" s="21" t="str">
        <f>IFERROR(LOOKUP('Stock Solution Calculator'!F15,Reagents!B:B,Reagents!C:C), "-")</f>
        <v>-</v>
      </c>
      <c r="H15" s="59" t="str">
        <f>IFERROR(LOOKUP(F15,Reagents!B:B,Reagents!F:F)*LOOKUP(F15,Reagents!B:B,Reagents!J:J)*C15/1000*1.25, "-")</f>
        <v>-</v>
      </c>
      <c r="I15" s="212" t="str">
        <f>IFERROR(IF(LOOKUP(F15,Reagents!B:B,Reagents!I:I)=0,'Stock Solution Calculator'!H15/LOOKUP('Stock Solution Calculator'!F15,Reagents!B:B,Reagents!H:H),LOOKUP(F15,Reagents!B:B,Reagents!I:I)*LOOKUP(F15,Reagents!B:B,Reagents!J:J)*C15*1.25), "-")</f>
        <v>-</v>
      </c>
      <c r="K15" s="21" t="str">
        <f>IFERROR(LOOKUP(J15,Reagents!$B:$B,Reagents!$C:$C), "-")</f>
        <v>-</v>
      </c>
      <c r="L15" s="59" t="str">
        <f>IFERROR(LOOKUP(J15,Reagents!B:B,Reagents!F:F)*LOOKUP(J15,Reagents!B:B,Reagents!J:J)*C15/1000*1.25, "-")</f>
        <v>-</v>
      </c>
      <c r="M15" s="210" t="str">
        <f>IFERROR(IF(LOOKUP(J15,Reagents!$B:$B,Reagents!$I:$I)=0,'Stock Solution Calculator'!L15/LOOKUP('Stock Solution Calculator'!J15,Reagents!$B:$B,Reagents!$H:$H),LOOKUP(J15,Reagents!$B:$B,Reagents!$I:$I)*LOOKUP(J15,Reagents!$B:$B,Reagents!$J:$J)*$C15*1.25), "-")</f>
        <v>-</v>
      </c>
      <c r="O15" s="125" t="str">
        <f>IFERROR(LOOKUP(N15,Reagents!$B:$B,Reagents!$C:$C), "-")</f>
        <v>-</v>
      </c>
      <c r="P15" s="122" t="str">
        <f>IFERROR(LOOKUP(N15,Reagents!$B:$B,Reagents!$F:$F)*LOOKUP(N15,Reagents!$B:$B,Reagents!$J:$J)*$C$3/1000*1.25, "-")</f>
        <v>-</v>
      </c>
      <c r="Q15" s="214" t="str">
        <f>IFERROR(IF(LOOKUP(N15,Reagents!$B:$B,Reagents!$I:$I)=0,'Stock Solution Calculator'!P15/LOOKUP('Stock Solution Calculator'!N15,Reagents!$B:$B,Reagents!$H:$H),LOOKUP(N15,Reagents!$B:$B,Reagents!$I:$I)*LOOKUP(N15,Reagents!$B:$B,Reagents!$J:$J)*$C15*1.25), "-")</f>
        <v>-</v>
      </c>
      <c r="S15" s="125" t="str">
        <f>IFERROR(LOOKUP(R15,Reagents!$B:$B,Reagents!$C:$C), "-")</f>
        <v>-</v>
      </c>
      <c r="T15" s="122" t="str">
        <f>IFERROR(LOOKUP(R15,Reagents!$B:$B,Reagents!$F:$F)*LOOKUP(R15,Reagents!$B:$B,Reagents!$J:$J)*$C$3/1000*1.25, "-")</f>
        <v>-</v>
      </c>
      <c r="U15" s="210" t="str">
        <f>IFERROR(IF(LOOKUP(R15,Reagents!$B:$B,Reagents!$I:$I)=0,'Stock Solution Calculator'!T15/LOOKUP('Stock Solution Calculator'!R15,Reagents!$B:$B,Reagents!$H:$H),LOOKUP(R15,Reagents!$B:$B,Reagents!$I:$I)*LOOKUP(R15,Reagents!$B:$B,Reagents!$J:$J)*$C15*1.25), "-")</f>
        <v>-</v>
      </c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</row>
    <row r="16" spans="1:53" s="22" customFormat="1">
      <c r="A16" s="37">
        <v>14</v>
      </c>
      <c r="C16" s="36"/>
      <c r="D16" s="36"/>
      <c r="E16" s="52">
        <f t="shared" si="0"/>
        <v>0</v>
      </c>
      <c r="G16" s="21" t="str">
        <f>IFERROR(LOOKUP('Stock Solution Calculator'!F16,Reagents!B:B,Reagents!C:C), "-")</f>
        <v>-</v>
      </c>
      <c r="H16" s="59" t="str">
        <f>IFERROR(LOOKUP(F16,Reagents!B:B,Reagents!F:F)*LOOKUP(F16,Reagents!B:B,Reagents!J:J)*C16/1000*1.25, "-")</f>
        <v>-</v>
      </c>
      <c r="I16" s="212" t="str">
        <f>IFERROR(IF(LOOKUP(F16,Reagents!B:B,Reagents!I:I)=0,'Stock Solution Calculator'!H16/LOOKUP('Stock Solution Calculator'!F16,Reagents!B:B,Reagents!H:H),LOOKUP(F16,Reagents!B:B,Reagents!I:I)*LOOKUP(F16,Reagents!B:B,Reagents!J:J)*C16*1.25), "-")</f>
        <v>-</v>
      </c>
      <c r="K16" s="21" t="str">
        <f>IFERROR(LOOKUP(J16,Reagents!$B:$B,Reagents!$C:$C), "-")</f>
        <v>-</v>
      </c>
      <c r="L16" s="59" t="str">
        <f>IFERROR(LOOKUP(J16,Reagents!B:B,Reagents!F:F)*LOOKUP(J16,Reagents!B:B,Reagents!J:J)*C16/1000*1.25, "-")</f>
        <v>-</v>
      </c>
      <c r="M16" s="210" t="str">
        <f>IFERROR(IF(LOOKUP(J16,Reagents!$B:$B,Reagents!$I:$I)=0,'Stock Solution Calculator'!L16/LOOKUP('Stock Solution Calculator'!J16,Reagents!$B:$B,Reagents!$H:$H),LOOKUP(J16,Reagents!$B:$B,Reagents!$I:$I)*LOOKUP(J16,Reagents!$B:$B,Reagents!$J:$J)*$C16*1.25), "-")</f>
        <v>-</v>
      </c>
      <c r="O16" s="125" t="str">
        <f>IFERROR(LOOKUP(N16,Reagents!$B:$B,Reagents!$C:$C), "-")</f>
        <v>-</v>
      </c>
      <c r="P16" s="122" t="str">
        <f>IFERROR(LOOKUP(N16,Reagents!$B:$B,Reagents!$F:$F)*LOOKUP(N16,Reagents!$B:$B,Reagents!$J:$J)*$C$3/1000*1.25, "-")</f>
        <v>-</v>
      </c>
      <c r="Q16" s="210" t="str">
        <f>IFERROR(IF(LOOKUP(N16,Reagents!$B:$B,Reagents!$I:$I)=0,'Stock Solution Calculator'!P16/LOOKUP('Stock Solution Calculator'!N16,Reagents!$B:$B,Reagents!$H:$H),LOOKUP(N16,Reagents!$B:$B,Reagents!$I:$I)*LOOKUP(N16,Reagents!$B:$B,Reagents!$J:$J)*$C16*1.25), "-")</f>
        <v>-</v>
      </c>
      <c r="S16" s="125" t="str">
        <f>IFERROR(LOOKUP(R16,Reagents!$B:$B,Reagents!$C:$C), "-")</f>
        <v>-</v>
      </c>
      <c r="T16" s="122" t="str">
        <f>IFERROR(LOOKUP(R16,Reagents!$B:$B,Reagents!$F:$F)*LOOKUP(R16,Reagents!$B:$B,Reagents!$J:$J)*$C$3/1000*1.25, "-")</f>
        <v>-</v>
      </c>
      <c r="U16" s="210" t="str">
        <f>IFERROR(IF(LOOKUP(R16,Reagents!$B:$B,Reagents!$I:$I)=0,'Stock Solution Calculator'!T16/LOOKUP('Stock Solution Calculator'!R16,Reagents!$B:$B,Reagents!$H:$H),LOOKUP(R16,Reagents!$B:$B,Reagents!$I:$I)*LOOKUP(R16,Reagents!$B:$B,Reagents!$J:$J)*$C16*1.25), "-")</f>
        <v>-</v>
      </c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</row>
    <row r="17" spans="1:53" s="22" customFormat="1">
      <c r="A17" s="37">
        <v>15</v>
      </c>
      <c r="C17" s="36"/>
      <c r="D17" s="36"/>
      <c r="E17" s="52">
        <f t="shared" si="0"/>
        <v>0</v>
      </c>
      <c r="G17" s="21" t="str">
        <f>IFERROR(LOOKUP('Stock Solution Calculator'!F17,Reagents!B:B,Reagents!C:C), "-")</f>
        <v>-</v>
      </c>
      <c r="H17" s="59" t="str">
        <f>IFERROR(LOOKUP(F17,Reagents!B:B,Reagents!F:F)*LOOKUP(F17,Reagents!B:B,Reagents!J:J)*C17/1000*1.25, "-")</f>
        <v>-</v>
      </c>
      <c r="I17" s="212" t="str">
        <f>IFERROR(IF(LOOKUP(F17,Reagents!B:B,Reagents!I:I)=0,'Stock Solution Calculator'!H17/LOOKUP('Stock Solution Calculator'!F17,Reagents!B:B,Reagents!H:H),LOOKUP(F17,Reagents!B:B,Reagents!I:I)*LOOKUP(F17,Reagents!B:B,Reagents!J:J)*C17*1.25), "-")</f>
        <v>-</v>
      </c>
      <c r="K17" s="21" t="str">
        <f>IFERROR(LOOKUP(J17,Reagents!$B:$B,Reagents!$C:$C), "-")</f>
        <v>-</v>
      </c>
      <c r="L17" s="59" t="str">
        <f>IFERROR(LOOKUP(J17,Reagents!B:B,Reagents!F:F)*LOOKUP(J17,Reagents!B:B,Reagents!J:J)*C17/1000*1.25, "-")</f>
        <v>-</v>
      </c>
      <c r="M17" s="210" t="str">
        <f>IFERROR(IF(LOOKUP(J17,Reagents!$B:$B,Reagents!$I:$I)=0,'Stock Solution Calculator'!L17/LOOKUP('Stock Solution Calculator'!J17,Reagents!$B:$B,Reagents!$H:$H),LOOKUP(J17,Reagents!$B:$B,Reagents!$I:$I)*LOOKUP(J17,Reagents!$B:$B,Reagents!$J:$J)*$C17*1.25), "-")</f>
        <v>-</v>
      </c>
      <c r="O17" s="125" t="str">
        <f>IFERROR(LOOKUP(N17,Reagents!$B:$B,Reagents!$C:$C), "-")</f>
        <v>-</v>
      </c>
      <c r="P17" s="122" t="str">
        <f>IFERROR(LOOKUP(N17,Reagents!$B:$B,Reagents!$F:$F)*LOOKUP(N17,Reagents!$B:$B,Reagents!$J:$J)*$C$3/1000*1.25, "-")</f>
        <v>-</v>
      </c>
      <c r="Q17" s="215" t="str">
        <f>IFERROR(IF(LOOKUP(N17,Reagents!$B:$B,Reagents!$I:$I)=0,'Stock Solution Calculator'!P17/LOOKUP('Stock Solution Calculator'!N17,Reagents!$B:$B,Reagents!$H:$H),LOOKUP(N17,Reagents!$B:$B,Reagents!$I:$I)*LOOKUP(N17,Reagents!$B:$B,Reagents!$J:$J)*$C17*1.25), "-")</f>
        <v>-</v>
      </c>
      <c r="S17" s="125" t="str">
        <f>IFERROR(LOOKUP(R17,Reagents!$B:$B,Reagents!$C:$C), "-")</f>
        <v>-</v>
      </c>
      <c r="T17" s="122" t="str">
        <f>IFERROR(LOOKUP(R17,Reagents!$B:$B,Reagents!$F:$F)*LOOKUP(R17,Reagents!$B:$B,Reagents!$J:$J)*$C$3/1000*1.25, "-")</f>
        <v>-</v>
      </c>
      <c r="U17" s="214" t="str">
        <f>IFERROR(IF(LOOKUP(R17,Reagents!$B:$B,Reagents!$I:$I)=0,'Stock Solution Calculator'!T17/LOOKUP('Stock Solution Calculator'!R17,Reagents!$B:$B,Reagents!$H:$H),LOOKUP(R17,Reagents!$B:$B,Reagents!$I:$I)*LOOKUP(R17,Reagents!$B:$B,Reagents!$J:$J)*$C17*1.25), "-")</f>
        <v>-</v>
      </c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</row>
    <row r="18" spans="1:53" s="22" customFormat="1">
      <c r="A18" s="37">
        <v>16</v>
      </c>
      <c r="C18" s="36"/>
      <c r="D18" s="36"/>
      <c r="E18" s="52">
        <f t="shared" si="0"/>
        <v>0</v>
      </c>
      <c r="G18" s="21" t="str">
        <f>IFERROR(LOOKUP('Stock Solution Calculator'!F18,Reagents!B:B,Reagents!C:C), "-")</f>
        <v>-</v>
      </c>
      <c r="H18" s="59" t="str">
        <f>IFERROR(LOOKUP(F18,Reagents!B:B,Reagents!F:F)*LOOKUP(F18,Reagents!B:B,Reagents!J:J)*C18/1000*1.25, "-")</f>
        <v>-</v>
      </c>
      <c r="I18" s="210" t="str">
        <f>IFERROR(IF(LOOKUP(F18,Reagents!B:B,Reagents!I:I)=0,'Stock Solution Calculator'!H18/LOOKUP('Stock Solution Calculator'!F18,Reagents!B:B,Reagents!H:H),LOOKUP(F18,Reagents!B:B,Reagents!I:I)*LOOKUP(F18,Reagents!B:B,Reagents!J:J)*C18*1.25), "-")</f>
        <v>-</v>
      </c>
      <c r="K18" s="21" t="str">
        <f>IFERROR(LOOKUP(J18,Reagents!$B:$B,Reagents!$C:$C), "-")</f>
        <v>-</v>
      </c>
      <c r="L18" s="59" t="str">
        <f>IFERROR(LOOKUP(J18,Reagents!B:B,Reagents!F:F)*LOOKUP(J18,Reagents!B:B,Reagents!J:J)*C18/1000*1.25, "-")</f>
        <v>-</v>
      </c>
      <c r="M18" s="214" t="str">
        <f>IFERROR(IF(LOOKUP(J18,Reagents!$B:$B,Reagents!$I:$I)=0,'Stock Solution Calculator'!L18/LOOKUP('Stock Solution Calculator'!J18,Reagents!$B:$B,Reagents!$H:$H),LOOKUP(J18,Reagents!$B:$B,Reagents!$I:$I)*LOOKUP(J18,Reagents!$B:$B,Reagents!$J:$J)*$C18*1.25), "-")</f>
        <v>-</v>
      </c>
      <c r="O18" s="125" t="str">
        <f>IFERROR(LOOKUP(N18,Reagents!$B:$B,Reagents!$C:$C), "-")</f>
        <v>-</v>
      </c>
      <c r="P18" s="122" t="str">
        <f>IFERROR(LOOKUP(N18,Reagents!$B:$B,Reagents!$F:$F)*LOOKUP(N18,Reagents!$B:$B,Reagents!$J:$J)*$C$3/1000*1.25, "-")</f>
        <v>-</v>
      </c>
      <c r="Q18" s="214" t="str">
        <f>IFERROR(IF(LOOKUP(N18,Reagents!$B:$B,Reagents!$I:$I)=0,'Stock Solution Calculator'!P18/LOOKUP('Stock Solution Calculator'!N18,Reagents!$B:$B,Reagents!$H:$H),LOOKUP(N18,Reagents!$B:$B,Reagents!$I:$I)*LOOKUP(N18,Reagents!$B:$B,Reagents!$J:$J)*$C18*1.25), "-")</f>
        <v>-</v>
      </c>
      <c r="S18" s="125" t="str">
        <f>IFERROR(LOOKUP(R18,Reagents!$B:$B,Reagents!$C:$C), "-")</f>
        <v>-</v>
      </c>
      <c r="T18" s="122" t="str">
        <f>IFERROR(LOOKUP(R18,Reagents!$B:$B,Reagents!$F:$F)*LOOKUP(R18,Reagents!$B:$B,Reagents!$J:$J)*$C$3/1000*1.25, "-")</f>
        <v>-</v>
      </c>
      <c r="U18" s="210" t="str">
        <f>IFERROR(IF(LOOKUP(R18,Reagents!$B:$B,Reagents!$I:$I)=0,'Stock Solution Calculator'!T18/LOOKUP('Stock Solution Calculator'!R18,Reagents!$B:$B,Reagents!$H:$H),LOOKUP(R18,Reagents!$B:$B,Reagents!$I:$I)*LOOKUP(R18,Reagents!$B:$B,Reagents!$J:$J)*$C18*1.25), "-")</f>
        <v>-</v>
      </c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</row>
    <row r="19" spans="1:53" s="13" customFormat="1">
      <c r="A19" s="20">
        <v>17</v>
      </c>
      <c r="C19" s="19"/>
      <c r="D19" s="19"/>
      <c r="E19" s="51">
        <f t="shared" si="0"/>
        <v>0</v>
      </c>
      <c r="G19" s="8" t="str">
        <f>IFERROR(LOOKUP('Stock Solution Calculator'!F19,Reagents!B:B,Reagents!C:C), "-")</f>
        <v>-</v>
      </c>
      <c r="H19" s="58" t="str">
        <f>IFERROR(LOOKUP(F19,Reagents!B:B,Reagents!F:F)*LOOKUP(F19,Reagents!B:B,Reagents!J:J)*C19/1000*1.25, "-")</f>
        <v>-</v>
      </c>
      <c r="I19" s="211" t="str">
        <f>IFERROR(IF(LOOKUP(F19,Reagents!B:B,Reagents!I:I)=0,'Stock Solution Calculator'!H19/LOOKUP('Stock Solution Calculator'!F19,Reagents!B:B,Reagents!H:H),LOOKUP(F19,Reagents!B:B,Reagents!I:I)*LOOKUP(F19,Reagents!B:B,Reagents!J:J)*C19*1.25), "-")</f>
        <v>-</v>
      </c>
      <c r="K19" s="8" t="str">
        <f>IFERROR(LOOKUP(J19,Reagents!$B:$B,Reagents!$C:$C), "-")</f>
        <v>-</v>
      </c>
      <c r="L19" s="58" t="str">
        <f>IFERROR(LOOKUP(J19,Reagents!B:B,Reagents!F:F)*LOOKUP(J19,Reagents!B:B,Reagents!J:J)*C19/1000*1.25, "-")</f>
        <v>-</v>
      </c>
      <c r="M19" s="210" t="str">
        <f>IFERROR(IF(LOOKUP(J19,Reagents!$B:$B,Reagents!$I:$I)=0,'Stock Solution Calculator'!L19/LOOKUP('Stock Solution Calculator'!J19,Reagents!$B:$B,Reagents!$H:$H),LOOKUP(J19,Reagents!$B:$B,Reagents!$I:$I)*LOOKUP(J19,Reagents!$B:$B,Reagents!$J:$J)*$C19*1.25), "-")</f>
        <v>-</v>
      </c>
      <c r="O19" s="124" t="str">
        <f>IFERROR(LOOKUP(N19,Reagents!$B:$B,Reagents!$C:$C), "-")</f>
        <v>-</v>
      </c>
      <c r="P19" s="121" t="str">
        <f>IFERROR(LOOKUP(N19,Reagents!$B:$B,Reagents!$F:$F)*LOOKUP(N19,Reagents!$B:$B,Reagents!$J:$J)*$C$3/1000*1.25, "-")</f>
        <v>-</v>
      </c>
      <c r="Q19" s="210" t="str">
        <f>IFERROR(IF(LOOKUP(N19,Reagents!$B:$B,Reagents!$I:$I)=0,'Stock Solution Calculator'!P19/LOOKUP('Stock Solution Calculator'!N19,Reagents!$B:$B,Reagents!$H:$H),LOOKUP(N19,Reagents!$B:$B,Reagents!$I:$I)*LOOKUP(N19,Reagents!$B:$B,Reagents!$J:$J)*$C19*1.25), "-")</f>
        <v>-</v>
      </c>
      <c r="S19" s="124" t="str">
        <f>IFERROR(LOOKUP(R19,Reagents!$B:$B,Reagents!$C:$C), "-")</f>
        <v>-</v>
      </c>
      <c r="T19" s="121" t="str">
        <f>IFERROR(LOOKUP(R19,Reagents!$B:$B,Reagents!$F:$F)*LOOKUP(R19,Reagents!$B:$B,Reagents!$J:$J)*$C$3/1000*1.25, "-")</f>
        <v>-</v>
      </c>
      <c r="U19" s="214" t="str">
        <f>IFERROR(IF(LOOKUP(R19,Reagents!$B:$B,Reagents!$I:$I)=0,'Stock Solution Calculator'!T19/LOOKUP('Stock Solution Calculator'!R19,Reagents!$B:$B,Reagents!$H:$H),LOOKUP(R19,Reagents!$B:$B,Reagents!$I:$I)*LOOKUP(R19,Reagents!$B:$B,Reagents!$J:$J)*$C19*1.25), "-")</f>
        <v>-</v>
      </c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</row>
    <row r="20" spans="1:53" s="22" customFormat="1">
      <c r="A20" s="37">
        <v>18</v>
      </c>
      <c r="C20" s="36"/>
      <c r="D20" s="36"/>
      <c r="E20" s="52">
        <f t="shared" si="0"/>
        <v>0</v>
      </c>
      <c r="G20" s="21" t="str">
        <f>IFERROR(LOOKUP('Stock Solution Calculator'!F20,Reagents!B:B,Reagents!C:C), "-")</f>
        <v>-</v>
      </c>
      <c r="H20" s="59" t="str">
        <f>IFERROR(LOOKUP(F20,Reagents!B:B,Reagents!F:F)*LOOKUP(F20,Reagents!B:B,Reagents!J:J)*C20/1000*1.25, "-")</f>
        <v>-</v>
      </c>
      <c r="I20" s="212" t="str">
        <f>IFERROR(IF(LOOKUP(F20,Reagents!B:B,Reagents!I:I)=0,'Stock Solution Calculator'!H20/LOOKUP('Stock Solution Calculator'!F20,Reagents!B:B,Reagents!H:H),LOOKUP(F20,Reagents!B:B,Reagents!I:I)*LOOKUP(F20,Reagents!B:B,Reagents!J:J)*C20*1.25), "-")</f>
        <v>-</v>
      </c>
      <c r="K20" s="21" t="str">
        <f>IFERROR(LOOKUP(J20,Reagents!$B:$B,Reagents!$C:$C), "-")</f>
        <v>-</v>
      </c>
      <c r="L20" s="59" t="str">
        <f>IFERROR(LOOKUP(J20,Reagents!B:B,Reagents!F:F)*LOOKUP(J20,Reagents!B:B,Reagents!J:J)*C20/1000*1.25, "-")</f>
        <v>-</v>
      </c>
      <c r="M20" s="215" t="str">
        <f>IFERROR(IF(LOOKUP(J20,Reagents!$B:$B,Reagents!$I:$I)=0,'Stock Solution Calculator'!L20/LOOKUP('Stock Solution Calculator'!J20,Reagents!$B:$B,Reagents!$H:$H),LOOKUP(J20,Reagents!$B:$B,Reagents!$I:$I)*LOOKUP(J20,Reagents!$B:$B,Reagents!$J:$J)*$C20*1.25), "-")</f>
        <v>-</v>
      </c>
      <c r="O20" s="125" t="str">
        <f>IFERROR(LOOKUP(N20,Reagents!$B:$B,Reagents!$C:$C), "-")</f>
        <v>-</v>
      </c>
      <c r="P20" s="122" t="str">
        <f>IFERROR(LOOKUP(N20,Reagents!$B:$B,Reagents!$F:$F)*LOOKUP(N20,Reagents!$B:$B,Reagents!$J:$J)*$C$3/1000*1.25, "-")</f>
        <v>-</v>
      </c>
      <c r="Q20" s="215" t="str">
        <f>IFERROR(IF(LOOKUP(N20,Reagents!$B:$B,Reagents!$I:$I)=0,'Stock Solution Calculator'!P20/LOOKUP('Stock Solution Calculator'!N20,Reagents!$B:$B,Reagents!$H:$H),LOOKUP(N20,Reagents!$B:$B,Reagents!$I:$I)*LOOKUP(N20,Reagents!$B:$B,Reagents!$J:$J)*$C20*1.25), "-")</f>
        <v>-</v>
      </c>
      <c r="S20" s="125" t="str">
        <f>IFERROR(LOOKUP(R20,Reagents!$B:$B,Reagents!$C:$C), "-")</f>
        <v>-</v>
      </c>
      <c r="T20" s="122" t="str">
        <f>IFERROR(LOOKUP(R20,Reagents!$B:$B,Reagents!$F:$F)*LOOKUP(R20,Reagents!$B:$B,Reagents!$J:$J)*$C$3/1000*1.25, "-")</f>
        <v>-</v>
      </c>
      <c r="U20" s="212" t="str">
        <f>IFERROR(IF(LOOKUP(R20,Reagents!$B:$B,Reagents!$I:$I)=0,'Stock Solution Calculator'!T20/LOOKUP('Stock Solution Calculator'!R20,Reagents!$B:$B,Reagents!$H:$H),LOOKUP(R20,Reagents!$B:$B,Reagents!$I:$I)*LOOKUP(R20,Reagents!$B:$B,Reagents!$J:$J)*$C20*1.25), "-")</f>
        <v>-</v>
      </c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</row>
    <row r="21" spans="1:53" s="22" customFormat="1">
      <c r="A21" s="37">
        <v>19</v>
      </c>
      <c r="C21" s="36"/>
      <c r="D21" s="36"/>
      <c r="E21" s="52">
        <f t="shared" si="0"/>
        <v>0</v>
      </c>
      <c r="G21" s="21" t="str">
        <f>IFERROR(LOOKUP('Stock Solution Calculator'!F21,Reagents!B:B,Reagents!C:C), "-")</f>
        <v>-</v>
      </c>
      <c r="H21" s="59" t="str">
        <f>IFERROR(LOOKUP(F21,Reagents!B:B,Reagents!F:F)*LOOKUP(F21,Reagents!B:B,Reagents!J:J)*C21/1000*1.25, "-")</f>
        <v>-</v>
      </c>
      <c r="I21" s="212" t="str">
        <f>IFERROR(IF(LOOKUP(F21,Reagents!B:B,Reagents!I:I)=0,'Stock Solution Calculator'!H21/LOOKUP('Stock Solution Calculator'!F21,Reagents!B:B,Reagents!H:H),LOOKUP(F21,Reagents!B:B,Reagents!I:I)*LOOKUP(F21,Reagents!B:B,Reagents!J:J)*C21*1.25), "-")</f>
        <v>-</v>
      </c>
      <c r="K21" s="21" t="str">
        <f>IFERROR(LOOKUP(J21,Reagents!$B:$B,Reagents!$C:$C), "-")</f>
        <v>-</v>
      </c>
      <c r="L21" s="59" t="str">
        <f>IFERROR(LOOKUP(J21,Reagents!B:B,Reagents!F:F)*LOOKUP(J21,Reagents!B:B,Reagents!J:J)*C21/1000*1.25, "-")</f>
        <v>-</v>
      </c>
      <c r="M21" s="214" t="str">
        <f>IFERROR(IF(LOOKUP(J21,Reagents!$B:$B,Reagents!$I:$I)=0,'Stock Solution Calculator'!L21/LOOKUP('Stock Solution Calculator'!J21,Reagents!$B:$B,Reagents!$H:$H),LOOKUP(J21,Reagents!$B:$B,Reagents!$I:$I)*LOOKUP(J21,Reagents!$B:$B,Reagents!$J:$J)*$C21*1.25), "-")</f>
        <v>-</v>
      </c>
      <c r="O21" s="125" t="str">
        <f>IFERROR(LOOKUP(N21,Reagents!$B:$B,Reagents!$C:$C), "-")</f>
        <v>-</v>
      </c>
      <c r="P21" s="122" t="str">
        <f>IFERROR(LOOKUP(N21,Reagents!$B:$B,Reagents!$F:$F)*LOOKUP(N21,Reagents!$B:$B,Reagents!$J:$J)*$C$3/1000*1.25, "-")</f>
        <v>-</v>
      </c>
      <c r="Q21" s="215" t="str">
        <f>IFERROR(IF(LOOKUP(N21,Reagents!$B:$B,Reagents!$I:$I)=0,'Stock Solution Calculator'!P21/LOOKUP('Stock Solution Calculator'!N21,Reagents!$B:$B,Reagents!$H:$H),LOOKUP(N21,Reagents!$B:$B,Reagents!$I:$I)*LOOKUP(N21,Reagents!$B:$B,Reagents!$J:$J)*$C21*1.25), "-")</f>
        <v>-</v>
      </c>
      <c r="S21" s="125" t="str">
        <f>IFERROR(LOOKUP(R21,Reagents!$B:$B,Reagents!$C:$C), "-")</f>
        <v>-</v>
      </c>
      <c r="T21" s="122" t="str">
        <f>IFERROR(LOOKUP(R21,Reagents!$B:$B,Reagents!$F:$F)*LOOKUP(R21,Reagents!$B:$B,Reagents!$J:$J)*$C$3/1000*1.25, "-")</f>
        <v>-</v>
      </c>
      <c r="U21" s="210" t="str">
        <f>IFERROR(IF(LOOKUP(R21,Reagents!$B:$B,Reagents!$I:$I)=0,'Stock Solution Calculator'!T21/LOOKUP('Stock Solution Calculator'!R21,Reagents!$B:$B,Reagents!$H:$H),LOOKUP(R21,Reagents!$B:$B,Reagents!$I:$I)*LOOKUP(R21,Reagents!$B:$B,Reagents!$J:$J)*$C21*1.25), "-")</f>
        <v>-</v>
      </c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</row>
    <row r="22" spans="1:53" s="12" customFormat="1" ht="17" thickBot="1">
      <c r="A22" s="130">
        <v>20</v>
      </c>
      <c r="B22" s="131"/>
      <c r="C22" s="132"/>
      <c r="D22" s="132"/>
      <c r="E22" s="133">
        <f t="shared" si="0"/>
        <v>0</v>
      </c>
      <c r="F22" s="131"/>
      <c r="G22" s="134" t="str">
        <f>IFERROR(LOOKUP('Stock Solution Calculator'!F22,Reagents!B:B,Reagents!C:C), "-")</f>
        <v>-</v>
      </c>
      <c r="H22" s="135" t="str">
        <f>IFERROR(LOOKUP(F22,Reagents!B:B,Reagents!F:F)*LOOKUP(F22,Reagents!B:B,Reagents!J:J)*C22/1000*1.25, "-")</f>
        <v>-</v>
      </c>
      <c r="I22" s="213" t="str">
        <f>IFERROR(IF(LOOKUP(F22,Reagents!$B:$B,Reagents!$I:$I)=0,'Stock Solution Calculator'!H22/LOOKUP('Stock Solution Calculator'!F22,Reagents!$B:$B,Reagents!$H:$H),LOOKUP(F22,Reagents!$B:$B,Reagents!$I:$I)*LOOKUP(F22,Reagents!$B:$B,Reagents!$J:$J)*$C22*1.25), "-")</f>
        <v>-</v>
      </c>
      <c r="J22" s="131"/>
      <c r="K22" s="134" t="str">
        <f>IFERROR(LOOKUP(J22,Reagents!$B:$B,Reagents!$C:$C), "-")</f>
        <v>-</v>
      </c>
      <c r="L22" s="135" t="str">
        <f>IFERROR(LOOKUP(J22,Reagents!B:B,Reagents!F:F)*LOOKUP(J22,Reagents!B:B,Reagents!J:J)*C22/1000*1.25, "-")</f>
        <v>-</v>
      </c>
      <c r="M22" s="213" t="str">
        <f>IFERROR(IF(LOOKUP(J22,Reagents!$B:$B,Reagents!$I:$I)=0,'Stock Solution Calculator'!L22/LOOKUP('Stock Solution Calculator'!J22,Reagents!$B:$B,Reagents!$H:$H),LOOKUP(J22,Reagents!$B:$B,Reagents!$I:$I)*LOOKUP(J22,Reagents!$B:$B,Reagents!$J:$J)*$C22*1.25), "-")</f>
        <v>-</v>
      </c>
      <c r="N22" s="131"/>
      <c r="O22" s="136" t="str">
        <f>IFERROR(LOOKUP(N22,Reagents!$B:$B,Reagents!$C:$C), "-")</f>
        <v>-</v>
      </c>
      <c r="P22" s="137" t="str">
        <f>IFERROR(LOOKUP(N22,Reagents!$B:$B,Reagents!$F:$F)*LOOKUP(N22,Reagents!$B:$B,Reagents!$J:$J)*$C$3/1000*1.25, "-")</f>
        <v>-</v>
      </c>
      <c r="Q22" s="216" t="str">
        <f>IFERROR(IF(LOOKUP(N22,Reagents!$B:$B,Reagents!$I:$I)=0,'Stock Solution Calculator'!P22/LOOKUP('Stock Solution Calculator'!N22,Reagents!$B:$B,Reagents!$H:$H),LOOKUP(N22,Reagents!$B:$B,Reagents!$I:$I)*LOOKUP(N22,Reagents!$B:$B,Reagents!$J:$J)*$C22*1.25), "-")</f>
        <v>-</v>
      </c>
      <c r="R22" s="131"/>
      <c r="S22" s="136" t="str">
        <f>IFERROR(LOOKUP(R22,Reagents!$B:$B,Reagents!$C:$C), "-")</f>
        <v>-</v>
      </c>
      <c r="T22" s="137" t="str">
        <f>IFERROR(LOOKUP(R22,Reagents!$B:$B,Reagents!$F:$F)*LOOKUP(R22,Reagents!$B:$B,Reagents!$J:$J)*$C$3/1000*1.25, "-")</f>
        <v>-</v>
      </c>
      <c r="U22" s="216" t="str">
        <f>IFERROR(IF(LOOKUP(R22,Reagents!$B:$B,Reagents!$I:$I)=0,'Stock Solution Calculator'!T22/LOOKUP('Stock Solution Calculator'!R22,Reagents!$B:$B,Reagents!$H:$H),LOOKUP(R22,Reagents!$B:$B,Reagents!$I:$I)*LOOKUP(R22,Reagents!$B:$B,Reagents!$J:$J)*$C22*1.25), "-")</f>
        <v>-</v>
      </c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</row>
    <row r="23" spans="1:53" s="103" customFormat="1">
      <c r="C23" s="104"/>
      <c r="D23" s="104"/>
      <c r="E23" s="104"/>
      <c r="H23" s="200"/>
      <c r="I23" s="200"/>
      <c r="L23" s="105"/>
      <c r="M23" s="105"/>
    </row>
    <row r="24" spans="1:53" s="103" customFormat="1">
      <c r="C24" s="104"/>
      <c r="D24" s="104"/>
      <c r="E24" s="104"/>
      <c r="H24" s="104"/>
      <c r="I24" s="104"/>
      <c r="L24" s="105"/>
      <c r="M24" s="105"/>
    </row>
    <row r="25" spans="1:53" s="103" customFormat="1" ht="17" thickBot="1">
      <c r="C25" s="220" t="s">
        <v>42</v>
      </c>
      <c r="D25" s="104"/>
      <c r="E25" s="104"/>
      <c r="H25" s="104"/>
      <c r="I25" s="104"/>
      <c r="L25" s="105"/>
      <c r="M25" s="105"/>
    </row>
    <row r="26" spans="1:53" s="103" customFormat="1">
      <c r="C26" s="225" t="s">
        <v>116</v>
      </c>
      <c r="D26" s="200"/>
      <c r="E26" s="200"/>
      <c r="F26" s="230"/>
      <c r="G26" s="235">
        <v>0.1</v>
      </c>
      <c r="H26" s="104"/>
      <c r="I26" s="104"/>
      <c r="L26" s="105"/>
      <c r="M26" s="105"/>
    </row>
    <row r="27" spans="1:53" s="103" customFormat="1">
      <c r="B27" s="119"/>
      <c r="C27" s="227" t="s">
        <v>118</v>
      </c>
      <c r="D27" s="226"/>
      <c r="E27" s="226"/>
      <c r="F27" s="142"/>
      <c r="G27" s="189">
        <f>LOOKUP("Reaction scale (µmol):", 'Plate Planning'!F24:F24,'Plate Planning'!H24:H24)/G26</f>
        <v>100</v>
      </c>
      <c r="H27" s="104"/>
      <c r="I27" s="104"/>
      <c r="L27" s="105"/>
      <c r="M27" s="105"/>
    </row>
    <row r="28" spans="1:53" s="103" customFormat="1">
      <c r="C28" s="228" t="s">
        <v>119</v>
      </c>
      <c r="D28" s="226"/>
      <c r="E28" s="226"/>
      <c r="F28" s="142"/>
      <c r="G28" s="229">
        <v>4</v>
      </c>
      <c r="H28" s="104"/>
      <c r="I28" s="104"/>
      <c r="L28" s="105"/>
      <c r="M28" s="105"/>
    </row>
    <row r="29" spans="1:53" s="103" customFormat="1" ht="17" thickBot="1">
      <c r="C29" s="231" t="s">
        <v>117</v>
      </c>
      <c r="D29" s="232"/>
      <c r="E29" s="232"/>
      <c r="F29" s="233"/>
      <c r="G29" s="234">
        <f>G27/G28</f>
        <v>25</v>
      </c>
      <c r="H29" s="104"/>
      <c r="I29" s="104"/>
      <c r="L29" s="105"/>
      <c r="M29" s="105"/>
    </row>
    <row r="30" spans="1:53" s="103" customFormat="1">
      <c r="C30" s="200"/>
      <c r="D30" s="104"/>
      <c r="E30" s="104"/>
      <c r="H30" s="104"/>
      <c r="I30" s="104"/>
      <c r="L30" s="105"/>
      <c r="M30" s="105"/>
    </row>
    <row r="31" spans="1:53" s="103" customFormat="1">
      <c r="C31" s="104"/>
      <c r="D31" s="104"/>
      <c r="E31" s="104"/>
      <c r="H31" s="104"/>
      <c r="I31" s="104"/>
      <c r="L31" s="105"/>
      <c r="M31" s="105"/>
    </row>
    <row r="32" spans="1:53" s="103" customFormat="1">
      <c r="C32" s="104"/>
      <c r="D32" s="104"/>
      <c r="E32" s="104"/>
      <c r="H32" s="104"/>
      <c r="I32" s="104"/>
      <c r="L32" s="105"/>
      <c r="M32" s="105"/>
    </row>
    <row r="33" spans="3:13" s="103" customFormat="1">
      <c r="C33" s="104"/>
      <c r="D33" s="104"/>
      <c r="E33" s="104"/>
      <c r="H33" s="104"/>
      <c r="I33" s="104"/>
      <c r="L33" s="105"/>
      <c r="M33" s="105"/>
    </row>
    <row r="34" spans="3:13" s="103" customFormat="1">
      <c r="C34" s="104"/>
      <c r="D34" s="104"/>
      <c r="E34" s="104"/>
      <c r="H34" s="104"/>
      <c r="I34" s="104"/>
      <c r="L34" s="105"/>
      <c r="M34" s="105"/>
    </row>
    <row r="35" spans="3:13" s="103" customFormat="1">
      <c r="C35" s="104"/>
      <c r="D35" s="104"/>
      <c r="E35" s="104"/>
      <c r="H35" s="104"/>
      <c r="I35" s="104"/>
      <c r="L35" s="105"/>
      <c r="M35" s="105"/>
    </row>
    <row r="36" spans="3:13" s="103" customFormat="1">
      <c r="C36" s="104"/>
      <c r="D36" s="104"/>
      <c r="E36" s="104"/>
      <c r="H36" s="104"/>
      <c r="I36" s="104"/>
      <c r="L36" s="105"/>
      <c r="M36" s="105"/>
    </row>
    <row r="37" spans="3:13" s="103" customFormat="1">
      <c r="C37" s="104"/>
      <c r="D37" s="104"/>
      <c r="E37" s="104"/>
      <c r="H37" s="104"/>
      <c r="I37" s="104"/>
      <c r="L37" s="105"/>
      <c r="M37" s="105"/>
    </row>
    <row r="38" spans="3:13" s="103" customFormat="1">
      <c r="C38" s="104"/>
      <c r="D38" s="104"/>
      <c r="E38" s="104"/>
      <c r="H38" s="104"/>
      <c r="I38" s="104"/>
      <c r="L38" s="105"/>
      <c r="M38" s="105"/>
    </row>
    <row r="39" spans="3:13" s="103" customFormat="1">
      <c r="C39" s="104"/>
      <c r="D39" s="104"/>
      <c r="E39" s="104"/>
      <c r="H39" s="104"/>
      <c r="I39" s="104"/>
      <c r="L39" s="105"/>
      <c r="M39" s="105"/>
    </row>
    <row r="40" spans="3:13" s="103" customFormat="1">
      <c r="C40" s="104"/>
      <c r="D40" s="104"/>
      <c r="E40" s="104"/>
      <c r="H40" s="104"/>
      <c r="I40" s="104"/>
      <c r="L40" s="105"/>
      <c r="M40" s="105"/>
    </row>
    <row r="41" spans="3:13" s="103" customFormat="1">
      <c r="C41" s="104"/>
      <c r="D41" s="104"/>
      <c r="E41" s="104"/>
      <c r="H41" s="104"/>
      <c r="I41" s="104"/>
      <c r="L41" s="105"/>
      <c r="M41" s="105"/>
    </row>
    <row r="42" spans="3:13" s="103" customFormat="1">
      <c r="C42" s="104"/>
      <c r="D42" s="104"/>
      <c r="E42" s="104"/>
      <c r="H42" s="104"/>
      <c r="I42" s="104"/>
      <c r="L42" s="105"/>
      <c r="M42" s="105"/>
    </row>
    <row r="43" spans="3:13" s="103" customFormat="1">
      <c r="C43" s="104"/>
      <c r="D43" s="104"/>
      <c r="E43" s="104"/>
      <c r="H43" s="104"/>
      <c r="I43" s="104"/>
      <c r="L43" s="105"/>
      <c r="M43" s="105"/>
    </row>
    <row r="44" spans="3:13" s="103" customFormat="1">
      <c r="C44" s="104"/>
      <c r="D44" s="104"/>
      <c r="E44" s="104"/>
      <c r="H44" s="104"/>
      <c r="I44" s="104"/>
      <c r="L44" s="105"/>
      <c r="M44" s="105"/>
    </row>
    <row r="45" spans="3:13" s="103" customFormat="1">
      <c r="C45" s="104"/>
      <c r="D45" s="104"/>
      <c r="E45" s="104"/>
      <c r="H45" s="104"/>
      <c r="I45" s="104"/>
      <c r="L45" s="105"/>
      <c r="M45" s="105"/>
    </row>
    <row r="46" spans="3:13" s="103" customFormat="1">
      <c r="C46" s="104"/>
      <c r="D46" s="104"/>
      <c r="E46" s="104"/>
      <c r="H46" s="104"/>
      <c r="I46" s="104"/>
      <c r="L46" s="105"/>
      <c r="M46" s="105"/>
    </row>
    <row r="47" spans="3:13" s="103" customFormat="1">
      <c r="C47" s="104"/>
      <c r="D47" s="104"/>
      <c r="E47" s="104"/>
      <c r="H47" s="104"/>
      <c r="I47" s="104"/>
      <c r="L47" s="105"/>
      <c r="M47" s="105"/>
    </row>
    <row r="48" spans="3:13" s="103" customFormat="1">
      <c r="C48" s="104"/>
      <c r="D48" s="104"/>
      <c r="E48" s="104"/>
      <c r="H48" s="104"/>
      <c r="I48" s="104"/>
      <c r="L48" s="105"/>
      <c r="M48" s="105"/>
    </row>
    <row r="49" spans="3:13" s="103" customFormat="1">
      <c r="C49" s="104"/>
      <c r="D49" s="104"/>
      <c r="E49" s="104"/>
      <c r="H49" s="104"/>
      <c r="I49" s="104"/>
      <c r="L49" s="105"/>
      <c r="M49" s="105"/>
    </row>
    <row r="50" spans="3:13" s="103" customFormat="1">
      <c r="C50" s="104"/>
      <c r="D50" s="104"/>
      <c r="E50" s="104"/>
      <c r="H50" s="104"/>
      <c r="I50" s="104"/>
      <c r="L50" s="105"/>
      <c r="M50" s="105"/>
    </row>
    <row r="51" spans="3:13" s="103" customFormat="1">
      <c r="C51" s="104"/>
      <c r="D51" s="104"/>
      <c r="E51" s="104"/>
      <c r="H51" s="104"/>
      <c r="I51" s="104"/>
      <c r="L51" s="105"/>
      <c r="M51" s="105"/>
    </row>
    <row r="52" spans="3:13" s="103" customFormat="1">
      <c r="C52" s="104"/>
      <c r="D52" s="104"/>
      <c r="E52" s="104"/>
      <c r="H52" s="104"/>
      <c r="I52" s="104"/>
      <c r="L52" s="105"/>
      <c r="M52" s="105"/>
    </row>
    <row r="53" spans="3:13" s="103" customFormat="1">
      <c r="C53" s="104"/>
      <c r="D53" s="104"/>
      <c r="E53" s="104"/>
      <c r="H53" s="104"/>
      <c r="I53" s="104"/>
      <c r="L53" s="105"/>
      <c r="M53" s="105"/>
    </row>
    <row r="54" spans="3:13" s="103" customFormat="1">
      <c r="C54" s="104"/>
      <c r="D54" s="104"/>
      <c r="E54" s="104"/>
      <c r="H54" s="104"/>
      <c r="I54" s="104"/>
      <c r="L54" s="105"/>
      <c r="M54" s="105"/>
    </row>
    <row r="55" spans="3:13" s="103" customFormat="1">
      <c r="C55" s="104"/>
      <c r="D55" s="104"/>
      <c r="E55" s="104"/>
      <c r="H55" s="104"/>
      <c r="I55" s="104"/>
      <c r="L55" s="105"/>
      <c r="M55" s="105"/>
    </row>
    <row r="56" spans="3:13" s="103" customFormat="1">
      <c r="C56" s="104"/>
      <c r="D56" s="104"/>
      <c r="E56" s="104"/>
      <c r="H56" s="104"/>
      <c r="I56" s="104"/>
      <c r="L56" s="105"/>
      <c r="M56" s="105"/>
    </row>
    <row r="57" spans="3:13" s="103" customFormat="1">
      <c r="C57" s="104"/>
      <c r="D57" s="104"/>
      <c r="E57" s="104"/>
      <c r="H57" s="104"/>
      <c r="I57" s="104"/>
      <c r="L57" s="105"/>
      <c r="M57" s="105"/>
    </row>
    <row r="58" spans="3:13" s="103" customFormat="1">
      <c r="C58" s="104"/>
      <c r="D58" s="104"/>
      <c r="E58" s="104"/>
      <c r="H58" s="104"/>
      <c r="I58" s="104"/>
      <c r="L58" s="105"/>
      <c r="M58" s="105"/>
    </row>
    <row r="59" spans="3:13" s="103" customFormat="1">
      <c r="C59" s="104"/>
      <c r="D59" s="104"/>
      <c r="E59" s="104"/>
      <c r="H59" s="104"/>
      <c r="I59" s="104"/>
      <c r="L59" s="105"/>
      <c r="M59" s="105"/>
    </row>
    <row r="60" spans="3:13" s="103" customFormat="1">
      <c r="C60" s="104"/>
      <c r="D60" s="104"/>
      <c r="E60" s="104"/>
      <c r="H60" s="104"/>
      <c r="I60" s="104"/>
      <c r="L60" s="105"/>
      <c r="M60" s="105"/>
    </row>
    <row r="61" spans="3:13" s="103" customFormat="1">
      <c r="C61" s="104"/>
      <c r="D61" s="104"/>
      <c r="E61" s="104"/>
      <c r="H61" s="104"/>
      <c r="I61" s="104"/>
      <c r="L61" s="105"/>
      <c r="M61" s="105"/>
    </row>
    <row r="62" spans="3:13" s="103" customFormat="1">
      <c r="C62" s="104"/>
      <c r="D62" s="104"/>
      <c r="E62" s="104"/>
      <c r="H62" s="104"/>
      <c r="I62" s="104"/>
      <c r="L62" s="105"/>
      <c r="M62" s="105"/>
    </row>
    <row r="63" spans="3:13" s="103" customFormat="1">
      <c r="C63" s="104"/>
      <c r="D63" s="104"/>
      <c r="E63" s="104"/>
      <c r="H63" s="104"/>
      <c r="I63" s="104"/>
      <c r="L63" s="105"/>
      <c r="M63" s="105"/>
    </row>
    <row r="64" spans="3:13" s="103" customFormat="1">
      <c r="C64" s="104"/>
      <c r="D64" s="104"/>
      <c r="E64" s="104"/>
      <c r="H64" s="104"/>
      <c r="I64" s="104"/>
      <c r="L64" s="105"/>
      <c r="M64" s="105"/>
    </row>
    <row r="65" spans="3:13" s="103" customFormat="1">
      <c r="C65" s="104"/>
      <c r="D65" s="104"/>
      <c r="E65" s="104"/>
      <c r="H65" s="104"/>
      <c r="I65" s="104"/>
      <c r="L65" s="105"/>
      <c r="M65" s="105"/>
    </row>
    <row r="66" spans="3:13" s="103" customFormat="1">
      <c r="C66" s="104"/>
      <c r="D66" s="104"/>
      <c r="E66" s="104"/>
      <c r="H66" s="104"/>
      <c r="I66" s="104"/>
      <c r="L66" s="105"/>
      <c r="M66" s="105"/>
    </row>
    <row r="67" spans="3:13" s="103" customFormat="1">
      <c r="C67" s="104"/>
      <c r="D67" s="104"/>
      <c r="E67" s="104"/>
      <c r="H67" s="104"/>
      <c r="I67" s="104"/>
      <c r="L67" s="105"/>
      <c r="M67" s="105"/>
    </row>
    <row r="68" spans="3:13" s="103" customFormat="1">
      <c r="C68" s="104"/>
      <c r="D68" s="104"/>
      <c r="E68" s="104"/>
      <c r="H68" s="104"/>
      <c r="I68" s="104"/>
      <c r="L68" s="105"/>
      <c r="M68" s="105"/>
    </row>
    <row r="69" spans="3:13" s="103" customFormat="1">
      <c r="C69" s="104"/>
      <c r="D69" s="104"/>
      <c r="E69" s="104"/>
      <c r="H69" s="104"/>
      <c r="I69" s="104"/>
      <c r="L69" s="105"/>
      <c r="M69" s="105"/>
    </row>
    <row r="70" spans="3:13" s="103" customFormat="1">
      <c r="C70" s="104"/>
      <c r="D70" s="104"/>
      <c r="E70" s="104"/>
      <c r="H70" s="104"/>
      <c r="I70" s="104"/>
      <c r="L70" s="105"/>
      <c r="M70" s="105"/>
    </row>
    <row r="71" spans="3:13" s="103" customFormat="1">
      <c r="C71" s="104"/>
      <c r="D71" s="104"/>
      <c r="E71" s="104"/>
      <c r="H71" s="104"/>
      <c r="I71" s="104"/>
      <c r="L71" s="105"/>
      <c r="M71" s="105"/>
    </row>
    <row r="72" spans="3:13" s="103" customFormat="1">
      <c r="C72" s="104"/>
      <c r="D72" s="104"/>
      <c r="E72" s="104"/>
      <c r="H72" s="104"/>
      <c r="I72" s="104"/>
      <c r="L72" s="105"/>
      <c r="M72" s="105"/>
    </row>
    <row r="73" spans="3:13" s="103" customFormat="1">
      <c r="C73" s="104"/>
      <c r="D73" s="104"/>
      <c r="E73" s="104"/>
      <c r="H73" s="104"/>
      <c r="I73" s="104"/>
      <c r="L73" s="105"/>
      <c r="M73" s="105"/>
    </row>
    <row r="74" spans="3:13" s="103" customFormat="1">
      <c r="C74" s="104"/>
      <c r="D74" s="104"/>
      <c r="E74" s="104"/>
      <c r="H74" s="104"/>
      <c r="I74" s="104"/>
      <c r="L74" s="105"/>
      <c r="M74" s="105"/>
    </row>
    <row r="75" spans="3:13" s="103" customFormat="1">
      <c r="C75" s="104"/>
      <c r="D75" s="104"/>
      <c r="E75" s="104"/>
      <c r="H75" s="104"/>
      <c r="I75" s="104"/>
      <c r="L75" s="105"/>
      <c r="M75" s="105"/>
    </row>
    <row r="76" spans="3:13" s="103" customFormat="1">
      <c r="C76" s="104"/>
      <c r="D76" s="104"/>
      <c r="E76" s="104"/>
      <c r="H76" s="104"/>
      <c r="I76" s="104"/>
      <c r="L76" s="105"/>
      <c r="M76" s="105"/>
    </row>
    <row r="77" spans="3:13" s="103" customFormat="1">
      <c r="C77" s="104"/>
      <c r="D77" s="104"/>
      <c r="E77" s="104"/>
      <c r="H77" s="104"/>
      <c r="I77" s="104"/>
      <c r="L77" s="105"/>
      <c r="M77" s="105"/>
    </row>
    <row r="78" spans="3:13" s="103" customFormat="1">
      <c r="C78" s="104"/>
      <c r="D78" s="104"/>
      <c r="E78" s="104"/>
      <c r="H78" s="104"/>
      <c r="I78" s="104"/>
      <c r="L78" s="105"/>
      <c r="M78" s="105"/>
    </row>
    <row r="79" spans="3:13" s="103" customFormat="1">
      <c r="C79" s="104"/>
      <c r="D79" s="104"/>
      <c r="E79" s="104"/>
      <c r="H79" s="104"/>
      <c r="I79" s="104"/>
      <c r="L79" s="105"/>
      <c r="M79" s="105"/>
    </row>
    <row r="80" spans="3:13" s="103" customFormat="1">
      <c r="C80" s="104"/>
      <c r="D80" s="104"/>
      <c r="E80" s="104"/>
      <c r="H80" s="104"/>
      <c r="I80" s="104"/>
      <c r="L80" s="105"/>
      <c r="M80" s="105"/>
    </row>
    <row r="81" spans="3:13" s="103" customFormat="1">
      <c r="C81" s="104"/>
      <c r="D81" s="104"/>
      <c r="E81" s="104"/>
      <c r="H81" s="104"/>
      <c r="I81" s="104"/>
      <c r="L81" s="105"/>
      <c r="M81" s="105"/>
    </row>
    <row r="82" spans="3:13" s="103" customFormat="1">
      <c r="C82" s="104"/>
      <c r="D82" s="104"/>
      <c r="E82" s="104"/>
      <c r="H82" s="104"/>
      <c r="I82" s="104"/>
      <c r="L82" s="105"/>
      <c r="M82" s="105"/>
    </row>
    <row r="83" spans="3:13" s="103" customFormat="1">
      <c r="C83" s="104"/>
      <c r="D83" s="104"/>
      <c r="E83" s="104"/>
      <c r="H83" s="104"/>
      <c r="I83" s="104"/>
      <c r="L83" s="105"/>
      <c r="M83" s="105"/>
    </row>
    <row r="84" spans="3:13" s="103" customFormat="1">
      <c r="C84" s="104"/>
      <c r="D84" s="104"/>
      <c r="E84" s="104"/>
      <c r="H84" s="104"/>
      <c r="I84" s="104"/>
      <c r="L84" s="105"/>
      <c r="M84" s="105"/>
    </row>
    <row r="85" spans="3:13" s="103" customFormat="1">
      <c r="C85" s="104"/>
      <c r="D85" s="104"/>
      <c r="E85" s="104"/>
      <c r="H85" s="104"/>
      <c r="I85" s="104"/>
      <c r="L85" s="105"/>
      <c r="M85" s="105"/>
    </row>
    <row r="86" spans="3:13" s="103" customFormat="1">
      <c r="C86" s="104"/>
      <c r="D86" s="104"/>
      <c r="E86" s="104"/>
      <c r="H86" s="104"/>
      <c r="I86" s="104"/>
      <c r="L86" s="105"/>
      <c r="M86" s="105"/>
    </row>
    <row r="87" spans="3:13" s="103" customFormat="1">
      <c r="C87" s="104"/>
      <c r="D87" s="104"/>
      <c r="E87" s="104"/>
      <c r="H87" s="104"/>
      <c r="I87" s="104"/>
      <c r="L87" s="105"/>
      <c r="M87" s="105"/>
    </row>
    <row r="88" spans="3:13" s="103" customFormat="1">
      <c r="C88" s="104"/>
      <c r="D88" s="104"/>
      <c r="E88" s="104"/>
      <c r="H88" s="104"/>
      <c r="I88" s="104"/>
      <c r="L88" s="105"/>
      <c r="M88" s="105"/>
    </row>
    <row r="89" spans="3:13" s="103" customFormat="1">
      <c r="C89" s="104"/>
      <c r="D89" s="104"/>
      <c r="E89" s="104"/>
      <c r="H89" s="104"/>
      <c r="I89" s="104"/>
      <c r="L89" s="105"/>
      <c r="M89" s="105"/>
    </row>
    <row r="90" spans="3:13" s="103" customFormat="1">
      <c r="C90" s="104"/>
      <c r="D90" s="104"/>
      <c r="E90" s="104"/>
      <c r="H90" s="104"/>
      <c r="I90" s="104"/>
      <c r="L90" s="105"/>
      <c r="M90" s="105"/>
    </row>
    <row r="91" spans="3:13" s="103" customFormat="1">
      <c r="C91" s="104"/>
      <c r="D91" s="104"/>
      <c r="E91" s="104"/>
      <c r="H91" s="104"/>
      <c r="I91" s="104"/>
      <c r="L91" s="105"/>
      <c r="M91" s="105"/>
    </row>
    <row r="92" spans="3:13" s="103" customFormat="1">
      <c r="C92" s="104"/>
      <c r="D92" s="104"/>
      <c r="E92" s="104"/>
      <c r="H92" s="104"/>
      <c r="I92" s="104"/>
      <c r="L92" s="105"/>
      <c r="M92" s="105"/>
    </row>
    <row r="93" spans="3:13" s="103" customFormat="1">
      <c r="C93" s="104"/>
      <c r="D93" s="104"/>
      <c r="E93" s="104"/>
      <c r="H93" s="104"/>
      <c r="I93" s="104"/>
      <c r="L93" s="105"/>
      <c r="M93" s="105"/>
    </row>
    <row r="94" spans="3:13" s="103" customFormat="1">
      <c r="C94" s="104"/>
      <c r="D94" s="104"/>
      <c r="E94" s="104"/>
      <c r="H94" s="104"/>
      <c r="I94" s="104"/>
      <c r="L94" s="105"/>
      <c r="M94" s="105"/>
    </row>
    <row r="95" spans="3:13" s="103" customFormat="1">
      <c r="C95" s="104"/>
      <c r="D95" s="104"/>
      <c r="E95" s="104"/>
      <c r="H95" s="104"/>
      <c r="I95" s="104"/>
      <c r="L95" s="105"/>
      <c r="M95" s="105"/>
    </row>
    <row r="96" spans="3:13" s="103" customFormat="1">
      <c r="C96" s="104"/>
      <c r="D96" s="104"/>
      <c r="E96" s="104"/>
      <c r="H96" s="104"/>
      <c r="I96" s="104"/>
      <c r="L96" s="105"/>
      <c r="M96" s="105"/>
    </row>
    <row r="97" spans="3:13" s="103" customFormat="1">
      <c r="C97" s="104"/>
      <c r="D97" s="104"/>
      <c r="E97" s="104"/>
      <c r="H97" s="104"/>
      <c r="I97" s="104"/>
      <c r="L97" s="105"/>
      <c r="M97" s="105"/>
    </row>
    <row r="98" spans="3:13" s="103" customFormat="1">
      <c r="C98" s="104"/>
      <c r="D98" s="104"/>
      <c r="E98" s="104"/>
      <c r="H98" s="104"/>
      <c r="I98" s="104"/>
      <c r="L98" s="105"/>
      <c r="M98" s="105"/>
    </row>
    <row r="99" spans="3:13" s="103" customFormat="1">
      <c r="C99" s="104"/>
      <c r="D99" s="104"/>
      <c r="E99" s="104"/>
      <c r="H99" s="104"/>
      <c r="I99" s="104"/>
      <c r="L99" s="105"/>
      <c r="M99" s="105"/>
    </row>
    <row r="100" spans="3:13" s="103" customFormat="1">
      <c r="C100" s="104"/>
      <c r="D100" s="104"/>
      <c r="E100" s="104"/>
      <c r="H100" s="104"/>
      <c r="I100" s="104"/>
      <c r="L100" s="105"/>
      <c r="M100" s="105"/>
    </row>
    <row r="101" spans="3:13" s="103" customFormat="1">
      <c r="C101" s="104"/>
      <c r="D101" s="104"/>
      <c r="E101" s="104"/>
      <c r="H101" s="104"/>
      <c r="I101" s="104"/>
      <c r="L101" s="105"/>
      <c r="M101" s="105"/>
    </row>
    <row r="102" spans="3:13" s="103" customFormat="1">
      <c r="C102" s="104"/>
      <c r="D102" s="104"/>
      <c r="E102" s="104"/>
      <c r="H102" s="104"/>
      <c r="I102" s="104"/>
      <c r="L102" s="105"/>
      <c r="M102" s="105"/>
    </row>
    <row r="103" spans="3:13" s="103" customFormat="1">
      <c r="C103" s="104"/>
      <c r="D103" s="104"/>
      <c r="E103" s="104"/>
      <c r="H103" s="104"/>
      <c r="I103" s="104"/>
      <c r="L103" s="105"/>
      <c r="M103" s="105"/>
    </row>
    <row r="104" spans="3:13" s="103" customFormat="1">
      <c r="C104" s="104"/>
      <c r="D104" s="104"/>
      <c r="E104" s="104"/>
      <c r="H104" s="104"/>
      <c r="I104" s="104"/>
      <c r="L104" s="105"/>
      <c r="M104" s="105"/>
    </row>
    <row r="105" spans="3:13" s="103" customFormat="1">
      <c r="C105" s="104"/>
      <c r="D105" s="104"/>
      <c r="E105" s="104"/>
      <c r="H105" s="104"/>
      <c r="I105" s="104"/>
      <c r="L105" s="105"/>
      <c r="M105" s="105"/>
    </row>
    <row r="106" spans="3:13" s="103" customFormat="1">
      <c r="C106" s="104"/>
      <c r="D106" s="104"/>
      <c r="E106" s="104"/>
      <c r="H106" s="104"/>
      <c r="I106" s="104"/>
      <c r="L106" s="105"/>
      <c r="M106" s="105"/>
    </row>
    <row r="107" spans="3:13" s="103" customFormat="1">
      <c r="C107" s="104"/>
      <c r="D107" s="104"/>
      <c r="E107" s="104"/>
      <c r="H107" s="104"/>
      <c r="I107" s="104"/>
      <c r="L107" s="105"/>
      <c r="M107" s="105"/>
    </row>
  </sheetData>
  <mergeCells count="1">
    <mergeCell ref="J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F918A-F404-B946-8BDA-DE5242168AD1}">
  <dimension ref="A1:BC245"/>
  <sheetViews>
    <sheetView zoomScaleNormal="100" workbookViewId="0">
      <pane ySplit="1" topLeftCell="A2" activePane="bottomLeft" state="frozen"/>
      <selection pane="bottomLeft" activeCell="G13" sqref="G13"/>
    </sheetView>
  </sheetViews>
  <sheetFormatPr baseColWidth="10" defaultRowHeight="16"/>
  <cols>
    <col min="1" max="1" width="14.6640625" customWidth="1"/>
    <col min="2" max="2" width="8.33203125" hidden="1" customWidth="1"/>
    <col min="3" max="3" width="21.6640625" customWidth="1"/>
    <col min="4" max="4" width="12.6640625" customWidth="1"/>
    <col min="5" max="6" width="15.5" customWidth="1"/>
    <col min="7" max="8" width="17.5" customWidth="1"/>
    <col min="9" max="9" width="12.1640625" style="28" customWidth="1"/>
    <col min="10" max="55" width="10.83203125" style="170"/>
  </cols>
  <sheetData>
    <row r="1" spans="1:55" s="23" customFormat="1">
      <c r="A1" s="16" t="s">
        <v>22</v>
      </c>
      <c r="B1" s="16" t="s">
        <v>38</v>
      </c>
      <c r="C1" s="16" t="s">
        <v>123</v>
      </c>
      <c r="D1" s="16" t="s">
        <v>124</v>
      </c>
      <c r="E1" s="16" t="s">
        <v>125</v>
      </c>
      <c r="F1" s="16" t="s">
        <v>126</v>
      </c>
      <c r="G1" s="16" t="s">
        <v>39</v>
      </c>
      <c r="H1" s="16" t="s">
        <v>53</v>
      </c>
      <c r="I1" s="18" t="s">
        <v>44</v>
      </c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</row>
    <row r="2" spans="1:55" s="23" customFormat="1">
      <c r="A2" s="1">
        <v>0</v>
      </c>
      <c r="B2" s="1">
        <v>0</v>
      </c>
      <c r="C2" s="1"/>
      <c r="D2" s="1"/>
      <c r="E2" s="1"/>
      <c r="F2" s="1"/>
      <c r="G2" s="1"/>
      <c r="H2" s="1"/>
      <c r="I2" s="11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</row>
    <row r="3" spans="1:55" s="23" customFormat="1">
      <c r="A3" s="1">
        <v>0</v>
      </c>
      <c r="B3" s="1">
        <v>0</v>
      </c>
      <c r="C3" s="1"/>
      <c r="D3" s="1"/>
      <c r="E3" s="1"/>
      <c r="F3" s="1"/>
      <c r="G3" s="1"/>
      <c r="H3" s="1"/>
      <c r="I3" s="11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69"/>
      <c r="AK3" s="169"/>
      <c r="AL3" s="169"/>
      <c r="AM3" s="169"/>
      <c r="AN3" s="169"/>
      <c r="AO3" s="169"/>
      <c r="AP3" s="169"/>
      <c r="AQ3" s="169"/>
      <c r="AR3" s="169"/>
      <c r="AS3" s="169"/>
      <c r="AT3" s="169"/>
      <c r="AU3" s="169"/>
      <c r="AV3" s="169"/>
      <c r="AW3" s="169"/>
      <c r="AX3" s="169"/>
      <c r="AY3" s="169"/>
      <c r="AZ3" s="169"/>
      <c r="BA3" s="169"/>
      <c r="BB3" s="169"/>
      <c r="BC3" s="169"/>
    </row>
    <row r="4" spans="1:55" s="23" customFormat="1">
      <c r="A4" s="178">
        <v>0</v>
      </c>
      <c r="B4" s="178">
        <v>0</v>
      </c>
      <c r="C4" s="178"/>
      <c r="D4" s="178"/>
      <c r="E4" s="178"/>
      <c r="F4" s="178"/>
      <c r="G4" s="178"/>
      <c r="H4" s="178"/>
      <c r="I4" s="17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69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69"/>
      <c r="BC4" s="169"/>
    </row>
    <row r="5" spans="1:55">
      <c r="A5" s="1">
        <v>1</v>
      </c>
      <c r="B5" s="1">
        <v>1</v>
      </c>
      <c r="C5" s="1" t="e">
        <f>E5/F5</f>
        <v>#DIV/0!</v>
      </c>
      <c r="D5" s="1"/>
      <c r="E5" s="1"/>
      <c r="F5" s="1"/>
      <c r="G5" s="1"/>
      <c r="H5" s="1"/>
      <c r="I5" s="11"/>
    </row>
    <row r="6" spans="1:55">
      <c r="A6" s="1">
        <v>1</v>
      </c>
      <c r="B6" s="1">
        <v>1</v>
      </c>
      <c r="C6" s="1" t="e">
        <f t="shared" ref="C6:C69" si="0">E6/F6</f>
        <v>#DIV/0!</v>
      </c>
      <c r="D6" s="1"/>
      <c r="E6" s="1"/>
      <c r="F6" s="1"/>
      <c r="G6" s="1"/>
      <c r="H6" s="1"/>
      <c r="I6" s="11"/>
    </row>
    <row r="7" spans="1:55">
      <c r="A7" s="1">
        <v>1</v>
      </c>
      <c r="B7" s="1">
        <v>1</v>
      </c>
      <c r="C7" s="1" t="e">
        <f t="shared" si="0"/>
        <v>#DIV/0!</v>
      </c>
      <c r="D7" s="1"/>
      <c r="E7" s="1"/>
      <c r="F7" s="1"/>
      <c r="G7" s="1"/>
      <c r="H7" s="1"/>
      <c r="I7" s="11"/>
    </row>
    <row r="8" spans="1:55">
      <c r="A8" s="1">
        <v>1</v>
      </c>
      <c r="B8" s="1">
        <v>1</v>
      </c>
      <c r="C8" s="1" t="e">
        <f t="shared" si="0"/>
        <v>#DIV/0!</v>
      </c>
      <c r="D8" s="1"/>
      <c r="E8" s="1"/>
      <c r="F8" s="1"/>
      <c r="G8" s="1"/>
      <c r="H8" s="1"/>
      <c r="I8" s="11"/>
    </row>
    <row r="9" spans="1:55">
      <c r="A9" s="1">
        <v>1</v>
      </c>
      <c r="B9" s="1">
        <v>1</v>
      </c>
      <c r="C9" s="1" t="e">
        <f t="shared" si="0"/>
        <v>#DIV/0!</v>
      </c>
      <c r="D9" s="1"/>
      <c r="E9" s="1"/>
      <c r="F9" s="1"/>
      <c r="G9" s="1"/>
      <c r="H9" s="1"/>
      <c r="I9" s="11"/>
    </row>
    <row r="10" spans="1:55">
      <c r="A10" s="1">
        <v>1</v>
      </c>
      <c r="B10" s="1">
        <v>2</v>
      </c>
      <c r="C10" s="1" t="e">
        <f t="shared" si="0"/>
        <v>#DIV/0!</v>
      </c>
      <c r="D10" s="1"/>
      <c r="E10" s="1"/>
      <c r="F10" s="1"/>
      <c r="G10" s="1"/>
      <c r="H10" s="1"/>
      <c r="I10" s="11"/>
    </row>
    <row r="11" spans="1:55">
      <c r="A11" s="1">
        <v>1</v>
      </c>
      <c r="B11" s="1">
        <v>2</v>
      </c>
      <c r="C11" s="1" t="e">
        <f t="shared" si="0"/>
        <v>#DIV/0!</v>
      </c>
      <c r="D11" s="1"/>
      <c r="E11" s="1"/>
      <c r="F11" s="1"/>
      <c r="G11" s="1"/>
      <c r="H11" s="1"/>
      <c r="I11" s="11"/>
    </row>
    <row r="12" spans="1:55">
      <c r="A12" s="1">
        <v>1</v>
      </c>
      <c r="B12" s="1">
        <v>2</v>
      </c>
      <c r="C12" s="1" t="e">
        <f t="shared" si="0"/>
        <v>#DIV/0!</v>
      </c>
      <c r="D12" s="1"/>
      <c r="E12" s="1"/>
      <c r="F12" s="1"/>
      <c r="G12" s="1"/>
      <c r="H12" s="1"/>
      <c r="I12" s="11"/>
    </row>
    <row r="13" spans="1:55">
      <c r="A13" s="1">
        <v>1</v>
      </c>
      <c r="B13" s="1">
        <v>2</v>
      </c>
      <c r="C13" s="1" t="e">
        <f t="shared" si="0"/>
        <v>#DIV/0!</v>
      </c>
      <c r="D13" s="1"/>
      <c r="E13" s="1"/>
      <c r="F13" s="1"/>
      <c r="G13" s="1"/>
      <c r="H13" s="1"/>
      <c r="I13" s="11"/>
    </row>
    <row r="14" spans="1:55">
      <c r="A14" s="1">
        <v>1</v>
      </c>
      <c r="B14" s="1">
        <v>2</v>
      </c>
      <c r="C14" s="1" t="e">
        <f t="shared" si="0"/>
        <v>#DIV/0!</v>
      </c>
      <c r="D14" s="1"/>
      <c r="E14" s="1"/>
      <c r="F14" s="1"/>
      <c r="G14" s="1"/>
      <c r="H14" s="1"/>
      <c r="I14" s="11"/>
    </row>
    <row r="15" spans="1:55">
      <c r="A15" s="1">
        <v>1</v>
      </c>
      <c r="B15" s="1">
        <v>3</v>
      </c>
      <c r="C15" s="1" t="e">
        <f t="shared" si="0"/>
        <v>#DIV/0!</v>
      </c>
      <c r="D15" s="1"/>
      <c r="E15" s="1"/>
      <c r="F15" s="1"/>
      <c r="G15" s="1"/>
      <c r="H15" s="1"/>
      <c r="I15" s="11"/>
    </row>
    <row r="16" spans="1:55">
      <c r="A16" s="1">
        <v>1</v>
      </c>
      <c r="B16" s="1">
        <v>3</v>
      </c>
      <c r="C16" s="1" t="e">
        <f t="shared" si="0"/>
        <v>#DIV/0!</v>
      </c>
      <c r="D16" s="1"/>
      <c r="E16" s="1"/>
      <c r="F16" s="1"/>
      <c r="G16" s="1"/>
      <c r="H16" s="1"/>
      <c r="I16" s="11"/>
    </row>
    <row r="17" spans="1:9">
      <c r="A17" s="1">
        <v>1</v>
      </c>
      <c r="B17" s="1">
        <v>3</v>
      </c>
      <c r="C17" s="1" t="e">
        <f t="shared" si="0"/>
        <v>#DIV/0!</v>
      </c>
      <c r="D17" s="1"/>
      <c r="E17" s="1"/>
      <c r="F17" s="1"/>
      <c r="G17" s="1"/>
      <c r="H17" s="1"/>
      <c r="I17" s="11"/>
    </row>
    <row r="18" spans="1:9">
      <c r="A18" s="1">
        <v>1</v>
      </c>
      <c r="B18" s="1">
        <v>3</v>
      </c>
      <c r="C18" s="1" t="e">
        <f t="shared" si="0"/>
        <v>#DIV/0!</v>
      </c>
      <c r="D18" s="1"/>
      <c r="E18" s="1"/>
      <c r="F18" s="1"/>
      <c r="G18" s="1"/>
      <c r="H18" s="1"/>
      <c r="I18" s="11"/>
    </row>
    <row r="19" spans="1:9">
      <c r="A19" s="1">
        <v>1</v>
      </c>
      <c r="B19" s="1">
        <v>3</v>
      </c>
      <c r="C19" s="178" t="e">
        <f t="shared" si="0"/>
        <v>#DIV/0!</v>
      </c>
      <c r="D19" s="1"/>
      <c r="E19" s="1"/>
      <c r="F19" s="1"/>
      <c r="G19" s="1"/>
      <c r="H19" s="1"/>
      <c r="I19" s="11"/>
    </row>
    <row r="20" spans="1:9">
      <c r="A20" s="12">
        <v>2</v>
      </c>
      <c r="B20" s="12">
        <v>1</v>
      </c>
      <c r="C20" s="1" t="e">
        <f t="shared" si="0"/>
        <v>#DIV/0!</v>
      </c>
      <c r="D20" s="12"/>
      <c r="E20" s="12"/>
      <c r="F20" s="12"/>
      <c r="G20" s="12"/>
      <c r="H20" s="12"/>
      <c r="I20" s="24"/>
    </row>
    <row r="21" spans="1:9">
      <c r="A21" s="1">
        <v>2</v>
      </c>
      <c r="B21" s="1">
        <v>1</v>
      </c>
      <c r="C21" s="1" t="e">
        <f t="shared" si="0"/>
        <v>#DIV/0!</v>
      </c>
      <c r="D21" s="1"/>
      <c r="E21" s="1"/>
      <c r="F21" s="1"/>
      <c r="G21" s="1"/>
      <c r="H21" s="1"/>
      <c r="I21" s="11"/>
    </row>
    <row r="22" spans="1:9">
      <c r="A22" s="1">
        <v>2</v>
      </c>
      <c r="B22" s="1">
        <v>1</v>
      </c>
      <c r="C22" s="1" t="e">
        <f t="shared" si="0"/>
        <v>#DIV/0!</v>
      </c>
      <c r="D22" s="1"/>
      <c r="E22" s="1"/>
      <c r="F22" s="1"/>
      <c r="G22" s="1"/>
      <c r="H22" s="1"/>
      <c r="I22" s="11"/>
    </row>
    <row r="23" spans="1:9">
      <c r="A23" s="1">
        <v>2</v>
      </c>
      <c r="B23" s="1">
        <v>1</v>
      </c>
      <c r="C23" s="1" t="e">
        <f t="shared" si="0"/>
        <v>#DIV/0!</v>
      </c>
      <c r="D23" s="1"/>
      <c r="E23" s="1"/>
      <c r="F23" s="1"/>
      <c r="G23" s="1"/>
      <c r="H23" s="1"/>
      <c r="I23" s="11"/>
    </row>
    <row r="24" spans="1:9">
      <c r="A24" s="1">
        <v>2</v>
      </c>
      <c r="B24" s="1">
        <v>1</v>
      </c>
      <c r="C24" s="1" t="e">
        <f t="shared" si="0"/>
        <v>#DIV/0!</v>
      </c>
      <c r="D24" s="1"/>
      <c r="E24" s="1"/>
      <c r="F24" s="1"/>
      <c r="G24" s="1"/>
      <c r="H24" s="1"/>
      <c r="I24" s="11"/>
    </row>
    <row r="25" spans="1:9">
      <c r="A25" s="1">
        <v>2</v>
      </c>
      <c r="B25" s="1">
        <v>2</v>
      </c>
      <c r="C25" s="1" t="e">
        <f t="shared" si="0"/>
        <v>#DIV/0!</v>
      </c>
      <c r="D25" s="1"/>
      <c r="E25" s="1"/>
      <c r="F25" s="1"/>
      <c r="G25" s="1"/>
      <c r="H25" s="1"/>
      <c r="I25" s="11"/>
    </row>
    <row r="26" spans="1:9">
      <c r="A26" s="1">
        <v>2</v>
      </c>
      <c r="B26" s="1">
        <v>2</v>
      </c>
      <c r="C26" s="1" t="e">
        <f t="shared" si="0"/>
        <v>#DIV/0!</v>
      </c>
      <c r="D26" s="1"/>
      <c r="E26" s="1"/>
      <c r="F26" s="1"/>
      <c r="G26" s="1"/>
      <c r="H26" s="1"/>
      <c r="I26" s="11"/>
    </row>
    <row r="27" spans="1:9">
      <c r="A27" s="1">
        <v>2</v>
      </c>
      <c r="B27" s="1">
        <v>2</v>
      </c>
      <c r="C27" s="1" t="e">
        <f t="shared" si="0"/>
        <v>#DIV/0!</v>
      </c>
      <c r="D27" s="1"/>
      <c r="E27" s="1"/>
      <c r="F27" s="1"/>
      <c r="G27" s="1"/>
      <c r="H27" s="1"/>
      <c r="I27" s="11"/>
    </row>
    <row r="28" spans="1:9">
      <c r="A28" s="1">
        <v>2</v>
      </c>
      <c r="B28" s="1">
        <v>2</v>
      </c>
      <c r="C28" s="1" t="e">
        <f t="shared" si="0"/>
        <v>#DIV/0!</v>
      </c>
      <c r="D28" s="1"/>
      <c r="E28" s="1"/>
      <c r="F28" s="1"/>
      <c r="G28" s="1"/>
      <c r="H28" s="1"/>
      <c r="I28" s="11"/>
    </row>
    <row r="29" spans="1:9">
      <c r="A29" s="1">
        <v>2</v>
      </c>
      <c r="B29" s="1">
        <v>2</v>
      </c>
      <c r="C29" s="1" t="e">
        <f t="shared" si="0"/>
        <v>#DIV/0!</v>
      </c>
      <c r="D29" s="1"/>
      <c r="E29" s="1"/>
      <c r="F29" s="1"/>
      <c r="G29" s="1"/>
      <c r="H29" s="1"/>
      <c r="I29" s="11"/>
    </row>
    <row r="30" spans="1:9">
      <c r="A30" s="1">
        <v>2</v>
      </c>
      <c r="B30" s="1">
        <v>3</v>
      </c>
      <c r="C30" s="1" t="e">
        <f t="shared" si="0"/>
        <v>#DIV/0!</v>
      </c>
      <c r="D30" s="1"/>
      <c r="E30" s="1"/>
      <c r="F30" s="1"/>
      <c r="G30" s="1"/>
      <c r="H30" s="1"/>
      <c r="I30" s="11"/>
    </row>
    <row r="31" spans="1:9">
      <c r="A31" s="1">
        <v>2</v>
      </c>
      <c r="B31" s="1">
        <v>3</v>
      </c>
      <c r="C31" s="1" t="e">
        <f t="shared" si="0"/>
        <v>#DIV/0!</v>
      </c>
      <c r="D31" s="1"/>
      <c r="E31" s="1"/>
      <c r="F31" s="1"/>
      <c r="G31" s="1"/>
      <c r="H31" s="1"/>
      <c r="I31" s="11"/>
    </row>
    <row r="32" spans="1:9">
      <c r="A32" s="1">
        <v>2</v>
      </c>
      <c r="B32" s="1">
        <v>3</v>
      </c>
      <c r="C32" s="1" t="e">
        <f t="shared" si="0"/>
        <v>#DIV/0!</v>
      </c>
      <c r="D32" s="1"/>
      <c r="E32" s="1"/>
      <c r="F32" s="1"/>
      <c r="G32" s="1"/>
      <c r="H32" s="1"/>
      <c r="I32" s="11"/>
    </row>
    <row r="33" spans="1:9">
      <c r="A33" s="1">
        <v>2</v>
      </c>
      <c r="B33" s="1">
        <v>3</v>
      </c>
      <c r="C33" s="1" t="e">
        <f t="shared" si="0"/>
        <v>#DIV/0!</v>
      </c>
      <c r="D33" s="1"/>
      <c r="E33" s="1"/>
      <c r="F33" s="1"/>
      <c r="G33" s="1"/>
      <c r="H33" s="1"/>
      <c r="I33" s="11"/>
    </row>
    <row r="34" spans="1:9">
      <c r="A34" s="1">
        <v>2</v>
      </c>
      <c r="B34" s="1">
        <v>3</v>
      </c>
      <c r="C34" s="178" t="e">
        <f t="shared" si="0"/>
        <v>#DIV/0!</v>
      </c>
      <c r="D34" s="1"/>
      <c r="E34" s="1"/>
      <c r="F34" s="1"/>
      <c r="G34" s="1"/>
      <c r="H34" s="1"/>
      <c r="I34" s="11"/>
    </row>
    <row r="35" spans="1:9">
      <c r="A35" s="12">
        <v>3</v>
      </c>
      <c r="B35" s="12">
        <v>1</v>
      </c>
      <c r="C35" s="1" t="e">
        <f t="shared" si="0"/>
        <v>#DIV/0!</v>
      </c>
      <c r="D35" s="12"/>
      <c r="E35" s="12"/>
      <c r="F35" s="12"/>
      <c r="G35" s="12"/>
      <c r="H35" s="12"/>
      <c r="I35" s="24"/>
    </row>
    <row r="36" spans="1:9">
      <c r="A36" s="1">
        <v>3</v>
      </c>
      <c r="B36" s="1">
        <v>1</v>
      </c>
      <c r="C36" s="1" t="e">
        <f t="shared" si="0"/>
        <v>#DIV/0!</v>
      </c>
      <c r="D36" s="1"/>
      <c r="E36" s="1"/>
      <c r="F36" s="1"/>
      <c r="G36" s="1"/>
      <c r="H36" s="1"/>
      <c r="I36" s="11"/>
    </row>
    <row r="37" spans="1:9">
      <c r="A37" s="1">
        <v>3</v>
      </c>
      <c r="B37" s="1">
        <v>1</v>
      </c>
      <c r="C37" s="1" t="e">
        <f t="shared" si="0"/>
        <v>#DIV/0!</v>
      </c>
      <c r="D37" s="1"/>
      <c r="E37" s="1"/>
      <c r="F37" s="1"/>
      <c r="G37" s="1"/>
      <c r="H37" s="1"/>
      <c r="I37" s="11"/>
    </row>
    <row r="38" spans="1:9">
      <c r="A38" s="1">
        <v>3</v>
      </c>
      <c r="B38" s="1">
        <v>1</v>
      </c>
      <c r="C38" s="1" t="e">
        <f t="shared" si="0"/>
        <v>#DIV/0!</v>
      </c>
      <c r="D38" s="1"/>
      <c r="E38" s="1"/>
      <c r="F38" s="1"/>
      <c r="G38" s="1"/>
      <c r="H38" s="1"/>
      <c r="I38" s="11"/>
    </row>
    <row r="39" spans="1:9">
      <c r="A39" s="1">
        <v>3</v>
      </c>
      <c r="B39" s="1">
        <v>1</v>
      </c>
      <c r="C39" s="1" t="e">
        <f t="shared" si="0"/>
        <v>#DIV/0!</v>
      </c>
      <c r="D39" s="1"/>
      <c r="E39" s="1"/>
      <c r="F39" s="1"/>
      <c r="G39" s="1"/>
      <c r="H39" s="1"/>
      <c r="I39" s="11"/>
    </row>
    <row r="40" spans="1:9">
      <c r="A40" s="1">
        <v>3</v>
      </c>
      <c r="B40" s="1">
        <v>2</v>
      </c>
      <c r="C40" s="1" t="e">
        <f t="shared" si="0"/>
        <v>#DIV/0!</v>
      </c>
      <c r="D40" s="1"/>
      <c r="E40" s="1"/>
      <c r="F40" s="1"/>
      <c r="G40" s="1"/>
      <c r="H40" s="1"/>
      <c r="I40" s="11"/>
    </row>
    <row r="41" spans="1:9">
      <c r="A41" s="1">
        <v>3</v>
      </c>
      <c r="B41" s="1">
        <v>2</v>
      </c>
      <c r="C41" s="1" t="e">
        <f t="shared" si="0"/>
        <v>#DIV/0!</v>
      </c>
      <c r="D41" s="1"/>
      <c r="E41" s="1"/>
      <c r="F41" s="1"/>
      <c r="G41" s="1"/>
      <c r="H41" s="1"/>
      <c r="I41" s="11"/>
    </row>
    <row r="42" spans="1:9">
      <c r="A42" s="1">
        <v>3</v>
      </c>
      <c r="B42" s="1">
        <v>2</v>
      </c>
      <c r="C42" s="1" t="e">
        <f t="shared" si="0"/>
        <v>#DIV/0!</v>
      </c>
      <c r="D42" s="1"/>
      <c r="E42" s="1"/>
      <c r="F42" s="1"/>
      <c r="G42" s="1"/>
      <c r="H42" s="1"/>
      <c r="I42" s="11"/>
    </row>
    <row r="43" spans="1:9">
      <c r="A43" s="1">
        <v>3</v>
      </c>
      <c r="B43" s="1">
        <v>2</v>
      </c>
      <c r="C43" s="1" t="e">
        <f t="shared" si="0"/>
        <v>#DIV/0!</v>
      </c>
      <c r="D43" s="1"/>
      <c r="E43" s="1"/>
      <c r="F43" s="1"/>
      <c r="G43" s="1"/>
      <c r="H43" s="1"/>
      <c r="I43" s="11"/>
    </row>
    <row r="44" spans="1:9">
      <c r="A44" s="1">
        <v>3</v>
      </c>
      <c r="B44" s="1">
        <v>2</v>
      </c>
      <c r="C44" s="1" t="e">
        <f t="shared" si="0"/>
        <v>#DIV/0!</v>
      </c>
      <c r="D44" s="1"/>
      <c r="E44" s="1"/>
      <c r="F44" s="1"/>
      <c r="G44" s="1"/>
      <c r="H44" s="1"/>
      <c r="I44" s="11"/>
    </row>
    <row r="45" spans="1:9">
      <c r="A45" s="1">
        <v>3</v>
      </c>
      <c r="B45" s="1">
        <v>3</v>
      </c>
      <c r="C45" s="1" t="e">
        <f t="shared" si="0"/>
        <v>#DIV/0!</v>
      </c>
      <c r="D45" s="1"/>
      <c r="E45" s="1"/>
      <c r="F45" s="1"/>
      <c r="G45" s="1"/>
      <c r="H45" s="1"/>
      <c r="I45" s="11"/>
    </row>
    <row r="46" spans="1:9">
      <c r="A46" s="1">
        <v>3</v>
      </c>
      <c r="B46" s="1">
        <v>3</v>
      </c>
      <c r="C46" s="1" t="e">
        <f t="shared" si="0"/>
        <v>#DIV/0!</v>
      </c>
      <c r="D46" s="1"/>
      <c r="E46" s="1"/>
      <c r="F46" s="1"/>
      <c r="G46" s="1"/>
      <c r="H46" s="1"/>
      <c r="I46" s="11"/>
    </row>
    <row r="47" spans="1:9">
      <c r="A47" s="1">
        <v>3</v>
      </c>
      <c r="B47" s="1">
        <v>3</v>
      </c>
      <c r="C47" s="1" t="e">
        <f t="shared" si="0"/>
        <v>#DIV/0!</v>
      </c>
      <c r="D47" s="1"/>
      <c r="E47" s="1"/>
      <c r="F47" s="1"/>
      <c r="G47" s="1"/>
      <c r="H47" s="1"/>
      <c r="I47" s="11"/>
    </row>
    <row r="48" spans="1:9">
      <c r="A48" s="1">
        <v>3</v>
      </c>
      <c r="B48" s="1">
        <v>3</v>
      </c>
      <c r="C48" s="1" t="e">
        <f t="shared" si="0"/>
        <v>#DIV/0!</v>
      </c>
      <c r="D48" s="1"/>
      <c r="E48" s="1"/>
      <c r="F48" s="1"/>
      <c r="G48" s="1"/>
      <c r="H48" s="1"/>
      <c r="I48" s="11"/>
    </row>
    <row r="49" spans="1:9">
      <c r="A49" s="1">
        <v>3</v>
      </c>
      <c r="B49" s="1">
        <v>3</v>
      </c>
      <c r="C49" s="178" t="e">
        <f t="shared" si="0"/>
        <v>#DIV/0!</v>
      </c>
      <c r="D49" s="1"/>
      <c r="E49" s="1"/>
      <c r="F49" s="1"/>
      <c r="G49" s="1"/>
      <c r="H49" s="1"/>
      <c r="I49" s="11"/>
    </row>
    <row r="50" spans="1:9">
      <c r="A50" s="12">
        <v>4</v>
      </c>
      <c r="B50" s="12">
        <v>1</v>
      </c>
      <c r="C50" s="1" t="e">
        <f t="shared" si="0"/>
        <v>#DIV/0!</v>
      </c>
      <c r="D50" s="12"/>
      <c r="E50" s="12"/>
      <c r="F50" s="12"/>
      <c r="G50" s="12"/>
      <c r="H50" s="12"/>
      <c r="I50" s="24"/>
    </row>
    <row r="51" spans="1:9">
      <c r="A51" s="1">
        <v>4</v>
      </c>
      <c r="B51" s="1">
        <v>1</v>
      </c>
      <c r="C51" s="1" t="e">
        <f t="shared" si="0"/>
        <v>#DIV/0!</v>
      </c>
      <c r="D51" s="1"/>
      <c r="E51" s="1"/>
      <c r="F51" s="1"/>
      <c r="G51" s="1"/>
      <c r="H51" s="1"/>
      <c r="I51" s="11"/>
    </row>
    <row r="52" spans="1:9">
      <c r="A52" s="1">
        <v>4</v>
      </c>
      <c r="B52" s="1">
        <v>1</v>
      </c>
      <c r="C52" s="1" t="e">
        <f t="shared" si="0"/>
        <v>#DIV/0!</v>
      </c>
      <c r="D52" s="1"/>
      <c r="E52" s="1"/>
      <c r="F52" s="1"/>
      <c r="G52" s="1"/>
      <c r="H52" s="1"/>
      <c r="I52" s="11"/>
    </row>
    <row r="53" spans="1:9">
      <c r="A53" s="1">
        <v>4</v>
      </c>
      <c r="B53" s="1">
        <v>1</v>
      </c>
      <c r="C53" s="1" t="e">
        <f t="shared" si="0"/>
        <v>#DIV/0!</v>
      </c>
      <c r="D53" s="1"/>
      <c r="E53" s="1"/>
      <c r="F53" s="1"/>
      <c r="G53" s="1"/>
      <c r="H53" s="1"/>
      <c r="I53" s="11"/>
    </row>
    <row r="54" spans="1:9">
      <c r="A54" s="1">
        <v>4</v>
      </c>
      <c r="B54" s="1">
        <v>1</v>
      </c>
      <c r="C54" s="1" t="e">
        <f t="shared" si="0"/>
        <v>#DIV/0!</v>
      </c>
      <c r="D54" s="1"/>
      <c r="E54" s="1"/>
      <c r="F54" s="1"/>
      <c r="G54" s="1"/>
      <c r="H54" s="1"/>
      <c r="I54" s="11"/>
    </row>
    <row r="55" spans="1:9">
      <c r="A55" s="1">
        <v>4</v>
      </c>
      <c r="B55" s="1">
        <v>2</v>
      </c>
      <c r="C55" s="1" t="e">
        <f t="shared" si="0"/>
        <v>#DIV/0!</v>
      </c>
      <c r="D55" s="1"/>
      <c r="E55" s="1"/>
      <c r="F55" s="1"/>
      <c r="G55" s="1"/>
      <c r="H55" s="1"/>
      <c r="I55" s="11"/>
    </row>
    <row r="56" spans="1:9">
      <c r="A56" s="1">
        <v>4</v>
      </c>
      <c r="B56" s="1">
        <v>2</v>
      </c>
      <c r="C56" s="1" t="e">
        <f t="shared" si="0"/>
        <v>#DIV/0!</v>
      </c>
      <c r="D56" s="1"/>
      <c r="E56" s="1"/>
      <c r="F56" s="1"/>
      <c r="G56" s="1"/>
      <c r="H56" s="1"/>
      <c r="I56" s="11"/>
    </row>
    <row r="57" spans="1:9">
      <c r="A57" s="1">
        <v>4</v>
      </c>
      <c r="B57" s="1">
        <v>2</v>
      </c>
      <c r="C57" s="1" t="e">
        <f t="shared" si="0"/>
        <v>#DIV/0!</v>
      </c>
      <c r="D57" s="1"/>
      <c r="E57" s="1"/>
      <c r="F57" s="1"/>
      <c r="G57" s="1"/>
      <c r="H57" s="1"/>
      <c r="I57" s="11"/>
    </row>
    <row r="58" spans="1:9">
      <c r="A58" s="1">
        <v>4</v>
      </c>
      <c r="B58" s="1">
        <v>2</v>
      </c>
      <c r="C58" s="1" t="e">
        <f t="shared" si="0"/>
        <v>#DIV/0!</v>
      </c>
      <c r="D58" s="1"/>
      <c r="E58" s="1"/>
      <c r="F58" s="1"/>
      <c r="G58" s="1"/>
      <c r="H58" s="1"/>
      <c r="I58" s="11"/>
    </row>
    <row r="59" spans="1:9">
      <c r="A59" s="1">
        <v>4</v>
      </c>
      <c r="B59" s="1">
        <v>2</v>
      </c>
      <c r="C59" s="1" t="e">
        <f t="shared" si="0"/>
        <v>#DIV/0!</v>
      </c>
      <c r="D59" s="1"/>
      <c r="E59" s="1"/>
      <c r="F59" s="1"/>
      <c r="G59" s="1"/>
      <c r="H59" s="1"/>
      <c r="I59" s="11"/>
    </row>
    <row r="60" spans="1:9">
      <c r="A60" s="1">
        <v>4</v>
      </c>
      <c r="B60" s="1">
        <v>3</v>
      </c>
      <c r="C60" s="1" t="e">
        <f t="shared" si="0"/>
        <v>#DIV/0!</v>
      </c>
      <c r="D60" s="1"/>
      <c r="E60" s="1"/>
      <c r="F60" s="1"/>
      <c r="G60" s="1"/>
      <c r="H60" s="1"/>
      <c r="I60" s="11"/>
    </row>
    <row r="61" spans="1:9">
      <c r="A61" s="1">
        <v>4</v>
      </c>
      <c r="B61" s="1">
        <v>3</v>
      </c>
      <c r="C61" s="1" t="e">
        <f t="shared" si="0"/>
        <v>#DIV/0!</v>
      </c>
      <c r="D61" s="1"/>
      <c r="E61" s="1"/>
      <c r="F61" s="1"/>
      <c r="G61" s="1"/>
      <c r="H61" s="1"/>
      <c r="I61" s="11"/>
    </row>
    <row r="62" spans="1:9">
      <c r="A62" s="1">
        <v>4</v>
      </c>
      <c r="B62" s="1">
        <v>3</v>
      </c>
      <c r="C62" s="1" t="e">
        <f t="shared" si="0"/>
        <v>#DIV/0!</v>
      </c>
      <c r="D62" s="1"/>
      <c r="E62" s="1"/>
      <c r="F62" s="1"/>
      <c r="G62" s="1"/>
      <c r="H62" s="1"/>
      <c r="I62" s="11"/>
    </row>
    <row r="63" spans="1:9">
      <c r="A63" s="1">
        <v>4</v>
      </c>
      <c r="B63" s="1">
        <v>3</v>
      </c>
      <c r="C63" s="1" t="e">
        <f t="shared" si="0"/>
        <v>#DIV/0!</v>
      </c>
      <c r="D63" s="1"/>
      <c r="E63" s="1"/>
      <c r="F63" s="1"/>
      <c r="G63" s="1"/>
      <c r="H63" s="1"/>
      <c r="I63" s="11"/>
    </row>
    <row r="64" spans="1:9">
      <c r="A64" s="1">
        <v>4</v>
      </c>
      <c r="B64" s="1">
        <v>3</v>
      </c>
      <c r="C64" s="178" t="e">
        <f t="shared" si="0"/>
        <v>#DIV/0!</v>
      </c>
      <c r="D64" s="1"/>
      <c r="E64" s="1"/>
      <c r="F64" s="1"/>
      <c r="G64" s="1"/>
      <c r="H64" s="1"/>
      <c r="I64" s="11"/>
    </row>
    <row r="65" spans="1:9">
      <c r="A65" s="12">
        <v>5</v>
      </c>
      <c r="B65" s="12">
        <v>1</v>
      </c>
      <c r="C65" s="1" t="e">
        <f t="shared" si="0"/>
        <v>#DIV/0!</v>
      </c>
      <c r="D65" s="12"/>
      <c r="E65" s="12"/>
      <c r="F65" s="12"/>
      <c r="G65" s="12"/>
      <c r="H65" s="12"/>
      <c r="I65" s="24"/>
    </row>
    <row r="66" spans="1:9">
      <c r="A66" s="1">
        <v>5</v>
      </c>
      <c r="B66" s="1">
        <v>1</v>
      </c>
      <c r="C66" s="1" t="e">
        <f t="shared" si="0"/>
        <v>#DIV/0!</v>
      </c>
      <c r="D66" s="1"/>
      <c r="E66" s="1"/>
      <c r="F66" s="1"/>
      <c r="G66" s="1"/>
      <c r="H66" s="1"/>
      <c r="I66" s="11"/>
    </row>
    <row r="67" spans="1:9">
      <c r="A67" s="1">
        <v>5</v>
      </c>
      <c r="B67" s="1">
        <v>1</v>
      </c>
      <c r="C67" s="1" t="e">
        <f t="shared" si="0"/>
        <v>#DIV/0!</v>
      </c>
      <c r="D67" s="1"/>
      <c r="E67" s="1"/>
      <c r="F67" s="1"/>
      <c r="G67" s="1"/>
      <c r="H67" s="1"/>
      <c r="I67" s="11"/>
    </row>
    <row r="68" spans="1:9">
      <c r="A68" s="1">
        <v>5</v>
      </c>
      <c r="B68" s="1">
        <v>1</v>
      </c>
      <c r="C68" s="1" t="e">
        <f t="shared" si="0"/>
        <v>#DIV/0!</v>
      </c>
      <c r="D68" s="1"/>
      <c r="E68" s="1"/>
      <c r="F68" s="1"/>
      <c r="G68" s="1"/>
      <c r="H68" s="1"/>
      <c r="I68" s="11"/>
    </row>
    <row r="69" spans="1:9">
      <c r="A69" s="1">
        <v>5</v>
      </c>
      <c r="B69" s="1">
        <v>1</v>
      </c>
      <c r="C69" s="1" t="e">
        <f t="shared" si="0"/>
        <v>#DIV/0!</v>
      </c>
      <c r="D69" s="1"/>
      <c r="E69" s="1"/>
      <c r="F69" s="1"/>
      <c r="G69" s="1"/>
      <c r="H69" s="1"/>
      <c r="I69" s="11"/>
    </row>
    <row r="70" spans="1:9">
      <c r="A70" s="1">
        <v>5</v>
      </c>
      <c r="B70" s="1">
        <v>2</v>
      </c>
      <c r="C70" s="1" t="e">
        <f t="shared" ref="C70:C133" si="1">E70/F70</f>
        <v>#DIV/0!</v>
      </c>
      <c r="D70" s="1"/>
      <c r="E70" s="1"/>
      <c r="F70" s="1"/>
      <c r="G70" s="1"/>
      <c r="H70" s="1"/>
      <c r="I70" s="11"/>
    </row>
    <row r="71" spans="1:9">
      <c r="A71" s="1">
        <v>5</v>
      </c>
      <c r="B71" s="1">
        <v>2</v>
      </c>
      <c r="C71" s="1" t="e">
        <f t="shared" si="1"/>
        <v>#DIV/0!</v>
      </c>
      <c r="D71" s="1"/>
      <c r="E71" s="1"/>
      <c r="F71" s="1"/>
      <c r="G71" s="1"/>
      <c r="H71" s="1"/>
      <c r="I71" s="11"/>
    </row>
    <row r="72" spans="1:9">
      <c r="A72" s="1">
        <v>5</v>
      </c>
      <c r="B72" s="1">
        <v>2</v>
      </c>
      <c r="C72" s="1" t="e">
        <f t="shared" si="1"/>
        <v>#DIV/0!</v>
      </c>
      <c r="D72" s="1"/>
      <c r="E72" s="1"/>
      <c r="F72" s="1"/>
      <c r="G72" s="1"/>
      <c r="H72" s="1"/>
      <c r="I72" s="11"/>
    </row>
    <row r="73" spans="1:9">
      <c r="A73" s="1">
        <v>5</v>
      </c>
      <c r="B73" s="1">
        <v>2</v>
      </c>
      <c r="C73" s="1" t="e">
        <f t="shared" si="1"/>
        <v>#DIV/0!</v>
      </c>
      <c r="D73" s="1"/>
      <c r="E73" s="1"/>
      <c r="F73" s="1"/>
      <c r="G73" s="1"/>
      <c r="H73" s="1"/>
      <c r="I73" s="11"/>
    </row>
    <row r="74" spans="1:9">
      <c r="A74" s="1">
        <v>5</v>
      </c>
      <c r="B74" s="1">
        <v>2</v>
      </c>
      <c r="C74" s="1" t="e">
        <f t="shared" si="1"/>
        <v>#DIV/0!</v>
      </c>
      <c r="D74" s="1"/>
      <c r="E74" s="1"/>
      <c r="F74" s="1"/>
      <c r="G74" s="1"/>
      <c r="H74" s="1"/>
      <c r="I74" s="11"/>
    </row>
    <row r="75" spans="1:9">
      <c r="A75" s="1">
        <v>5</v>
      </c>
      <c r="B75" s="1">
        <v>3</v>
      </c>
      <c r="C75" s="1" t="e">
        <f t="shared" si="1"/>
        <v>#DIV/0!</v>
      </c>
      <c r="D75" s="1"/>
      <c r="E75" s="1"/>
      <c r="F75" s="1"/>
      <c r="G75" s="1"/>
      <c r="H75" s="1"/>
      <c r="I75" s="11"/>
    </row>
    <row r="76" spans="1:9">
      <c r="A76" s="1">
        <v>5</v>
      </c>
      <c r="B76" s="1">
        <v>3</v>
      </c>
      <c r="C76" s="1" t="e">
        <f t="shared" si="1"/>
        <v>#DIV/0!</v>
      </c>
      <c r="D76" s="1"/>
      <c r="E76" s="1"/>
      <c r="F76" s="1"/>
      <c r="G76" s="1"/>
      <c r="H76" s="1"/>
      <c r="I76" s="11"/>
    </row>
    <row r="77" spans="1:9">
      <c r="A77" s="1">
        <v>5</v>
      </c>
      <c r="B77" s="1">
        <v>3</v>
      </c>
      <c r="C77" s="1" t="e">
        <f t="shared" si="1"/>
        <v>#DIV/0!</v>
      </c>
      <c r="D77" s="1"/>
      <c r="E77" s="1"/>
      <c r="F77" s="1"/>
      <c r="G77" s="1"/>
      <c r="H77" s="1"/>
      <c r="I77" s="11"/>
    </row>
    <row r="78" spans="1:9">
      <c r="A78" s="1">
        <v>5</v>
      </c>
      <c r="B78" s="1">
        <v>3</v>
      </c>
      <c r="C78" s="1" t="e">
        <f t="shared" si="1"/>
        <v>#DIV/0!</v>
      </c>
      <c r="D78" s="1"/>
      <c r="E78" s="1"/>
      <c r="F78" s="1"/>
      <c r="G78" s="1"/>
      <c r="H78" s="1"/>
      <c r="I78" s="11"/>
    </row>
    <row r="79" spans="1:9">
      <c r="A79" s="1">
        <v>5</v>
      </c>
      <c r="B79" s="1">
        <v>3</v>
      </c>
      <c r="C79" s="178" t="e">
        <f t="shared" si="1"/>
        <v>#DIV/0!</v>
      </c>
      <c r="D79" s="1"/>
      <c r="E79" s="1"/>
      <c r="F79" s="1"/>
      <c r="G79" s="1"/>
      <c r="H79" s="1"/>
      <c r="I79" s="11"/>
    </row>
    <row r="80" spans="1:9">
      <c r="A80" s="12">
        <v>6</v>
      </c>
      <c r="B80" s="12">
        <v>1</v>
      </c>
      <c r="C80" s="1" t="e">
        <f t="shared" si="1"/>
        <v>#DIV/0!</v>
      </c>
      <c r="D80" s="12"/>
      <c r="E80" s="12"/>
      <c r="F80" s="12"/>
      <c r="G80" s="12"/>
      <c r="H80" s="12"/>
      <c r="I80" s="24"/>
    </row>
    <row r="81" spans="1:9">
      <c r="A81" s="1">
        <v>6</v>
      </c>
      <c r="B81" s="1">
        <v>1</v>
      </c>
      <c r="C81" s="1" t="e">
        <f t="shared" si="1"/>
        <v>#DIV/0!</v>
      </c>
      <c r="D81" s="1"/>
      <c r="E81" s="1"/>
      <c r="F81" s="1"/>
      <c r="G81" s="1"/>
      <c r="H81" s="1"/>
      <c r="I81" s="11"/>
    </row>
    <row r="82" spans="1:9">
      <c r="A82" s="1">
        <v>6</v>
      </c>
      <c r="B82" s="1">
        <v>1</v>
      </c>
      <c r="C82" s="1" t="e">
        <f t="shared" si="1"/>
        <v>#DIV/0!</v>
      </c>
      <c r="D82" s="1"/>
      <c r="E82" s="1"/>
      <c r="F82" s="1"/>
      <c r="G82" s="1"/>
      <c r="H82" s="1"/>
      <c r="I82" s="11"/>
    </row>
    <row r="83" spans="1:9">
      <c r="A83" s="1">
        <v>6</v>
      </c>
      <c r="B83" s="1">
        <v>1</v>
      </c>
      <c r="C83" s="1" t="e">
        <f t="shared" si="1"/>
        <v>#DIV/0!</v>
      </c>
      <c r="D83" s="1"/>
      <c r="E83" s="1"/>
      <c r="F83" s="1"/>
      <c r="G83" s="1"/>
      <c r="H83" s="1"/>
      <c r="I83" s="11"/>
    </row>
    <row r="84" spans="1:9">
      <c r="A84" s="1">
        <v>6</v>
      </c>
      <c r="B84" s="1">
        <v>1</v>
      </c>
      <c r="C84" s="1" t="e">
        <f t="shared" si="1"/>
        <v>#DIV/0!</v>
      </c>
      <c r="D84" s="1"/>
      <c r="E84" s="1"/>
      <c r="F84" s="1"/>
      <c r="G84" s="1"/>
      <c r="H84" s="1"/>
      <c r="I84" s="11"/>
    </row>
    <row r="85" spans="1:9">
      <c r="A85" s="1">
        <v>6</v>
      </c>
      <c r="B85" s="1">
        <v>2</v>
      </c>
      <c r="C85" s="1" t="e">
        <f t="shared" si="1"/>
        <v>#DIV/0!</v>
      </c>
      <c r="D85" s="1"/>
      <c r="E85" s="1"/>
      <c r="F85" s="1"/>
      <c r="G85" s="1"/>
      <c r="H85" s="1"/>
      <c r="I85" s="11"/>
    </row>
    <row r="86" spans="1:9">
      <c r="A86" s="1">
        <v>6</v>
      </c>
      <c r="B86" s="1">
        <v>2</v>
      </c>
      <c r="C86" s="1" t="e">
        <f t="shared" si="1"/>
        <v>#DIV/0!</v>
      </c>
      <c r="D86" s="1"/>
      <c r="E86" s="1"/>
      <c r="F86" s="1"/>
      <c r="G86" s="1"/>
      <c r="H86" s="1"/>
      <c r="I86" s="11"/>
    </row>
    <row r="87" spans="1:9">
      <c r="A87" s="1">
        <v>6</v>
      </c>
      <c r="B87" s="1">
        <v>2</v>
      </c>
      <c r="C87" s="1" t="e">
        <f t="shared" si="1"/>
        <v>#DIV/0!</v>
      </c>
      <c r="D87" s="1"/>
      <c r="E87" s="1"/>
      <c r="F87" s="1"/>
      <c r="G87" s="1"/>
      <c r="H87" s="1"/>
      <c r="I87" s="11"/>
    </row>
    <row r="88" spans="1:9">
      <c r="A88" s="1">
        <v>6</v>
      </c>
      <c r="B88" s="1">
        <v>2</v>
      </c>
      <c r="C88" s="1" t="e">
        <f t="shared" si="1"/>
        <v>#DIV/0!</v>
      </c>
      <c r="D88" s="1"/>
      <c r="E88" s="1"/>
      <c r="F88" s="1"/>
      <c r="G88" s="1"/>
      <c r="H88" s="1"/>
      <c r="I88" s="11"/>
    </row>
    <row r="89" spans="1:9">
      <c r="A89" s="1">
        <v>6</v>
      </c>
      <c r="B89" s="1">
        <v>2</v>
      </c>
      <c r="C89" s="1" t="e">
        <f t="shared" si="1"/>
        <v>#DIV/0!</v>
      </c>
      <c r="D89" s="1"/>
      <c r="E89" s="1"/>
      <c r="F89" s="1"/>
      <c r="G89" s="1"/>
      <c r="H89" s="1"/>
      <c r="I89" s="11"/>
    </row>
    <row r="90" spans="1:9">
      <c r="A90" s="1">
        <v>6</v>
      </c>
      <c r="B90" s="1">
        <v>3</v>
      </c>
      <c r="C90" s="1" t="e">
        <f t="shared" si="1"/>
        <v>#DIV/0!</v>
      </c>
      <c r="D90" s="1"/>
      <c r="E90" s="1"/>
      <c r="F90" s="1"/>
      <c r="G90" s="1"/>
      <c r="H90" s="1"/>
      <c r="I90" s="11"/>
    </row>
    <row r="91" spans="1:9">
      <c r="A91" s="1">
        <v>6</v>
      </c>
      <c r="B91" s="1">
        <v>3</v>
      </c>
      <c r="C91" s="1" t="e">
        <f t="shared" si="1"/>
        <v>#DIV/0!</v>
      </c>
      <c r="D91" s="1"/>
      <c r="E91" s="1"/>
      <c r="F91" s="1"/>
      <c r="G91" s="1"/>
      <c r="H91" s="1"/>
      <c r="I91" s="11"/>
    </row>
    <row r="92" spans="1:9">
      <c r="A92" s="1">
        <v>6</v>
      </c>
      <c r="B92" s="1">
        <v>3</v>
      </c>
      <c r="C92" s="1" t="e">
        <f t="shared" si="1"/>
        <v>#DIV/0!</v>
      </c>
      <c r="D92" s="1"/>
      <c r="E92" s="1"/>
      <c r="F92" s="1"/>
      <c r="G92" s="1"/>
      <c r="H92" s="1"/>
      <c r="I92" s="11"/>
    </row>
    <row r="93" spans="1:9">
      <c r="A93" s="1">
        <v>6</v>
      </c>
      <c r="B93" s="1">
        <v>3</v>
      </c>
      <c r="C93" s="1" t="e">
        <f t="shared" si="1"/>
        <v>#DIV/0!</v>
      </c>
      <c r="D93" s="1"/>
      <c r="E93" s="1"/>
      <c r="F93" s="1"/>
      <c r="G93" s="1"/>
      <c r="H93" s="1"/>
      <c r="I93" s="11"/>
    </row>
    <row r="94" spans="1:9">
      <c r="A94" s="1">
        <v>6</v>
      </c>
      <c r="B94" s="1">
        <v>3</v>
      </c>
      <c r="C94" s="178" t="e">
        <f t="shared" si="1"/>
        <v>#DIV/0!</v>
      </c>
      <c r="D94" s="1"/>
      <c r="E94" s="1"/>
      <c r="F94" s="1"/>
      <c r="G94" s="1"/>
      <c r="H94" s="1"/>
      <c r="I94" s="11"/>
    </row>
    <row r="95" spans="1:9">
      <c r="A95" s="12">
        <v>7</v>
      </c>
      <c r="B95" s="12">
        <v>1</v>
      </c>
      <c r="C95" s="1" t="e">
        <f t="shared" si="1"/>
        <v>#DIV/0!</v>
      </c>
      <c r="D95" s="12"/>
      <c r="E95" s="12"/>
      <c r="F95" s="12"/>
      <c r="G95" s="12"/>
      <c r="H95" s="12"/>
      <c r="I95" s="24"/>
    </row>
    <row r="96" spans="1:9">
      <c r="A96" s="1">
        <v>7</v>
      </c>
      <c r="B96" s="1">
        <v>1</v>
      </c>
      <c r="C96" s="1" t="e">
        <f t="shared" si="1"/>
        <v>#DIV/0!</v>
      </c>
      <c r="D96" s="1"/>
      <c r="E96" s="1"/>
      <c r="F96" s="1"/>
      <c r="G96" s="1"/>
      <c r="H96" s="1"/>
      <c r="I96" s="11"/>
    </row>
    <row r="97" spans="1:9">
      <c r="A97" s="1">
        <v>7</v>
      </c>
      <c r="B97" s="1">
        <v>1</v>
      </c>
      <c r="C97" s="1" t="e">
        <f t="shared" si="1"/>
        <v>#DIV/0!</v>
      </c>
      <c r="D97" s="1"/>
      <c r="E97" s="1"/>
      <c r="F97" s="1"/>
      <c r="G97" s="1"/>
      <c r="H97" s="1"/>
      <c r="I97" s="11"/>
    </row>
    <row r="98" spans="1:9">
      <c r="A98" s="1">
        <v>7</v>
      </c>
      <c r="B98" s="1">
        <v>1</v>
      </c>
      <c r="C98" s="1" t="e">
        <f t="shared" si="1"/>
        <v>#DIV/0!</v>
      </c>
      <c r="D98" s="1"/>
      <c r="E98" s="1"/>
      <c r="F98" s="1"/>
      <c r="G98" s="1"/>
      <c r="H98" s="1"/>
      <c r="I98" s="11"/>
    </row>
    <row r="99" spans="1:9">
      <c r="A99" s="1">
        <v>7</v>
      </c>
      <c r="B99" s="1">
        <v>1</v>
      </c>
      <c r="C99" s="1" t="e">
        <f t="shared" si="1"/>
        <v>#DIV/0!</v>
      </c>
      <c r="D99" s="1"/>
      <c r="E99" s="1"/>
      <c r="F99" s="1"/>
      <c r="G99" s="1"/>
      <c r="H99" s="1"/>
      <c r="I99" s="11"/>
    </row>
    <row r="100" spans="1:9">
      <c r="A100" s="1">
        <v>7</v>
      </c>
      <c r="B100" s="1">
        <v>2</v>
      </c>
      <c r="C100" s="1" t="e">
        <f t="shared" si="1"/>
        <v>#DIV/0!</v>
      </c>
      <c r="D100" s="1"/>
      <c r="E100" s="1"/>
      <c r="F100" s="1"/>
      <c r="G100" s="1"/>
      <c r="H100" s="1"/>
      <c r="I100" s="11"/>
    </row>
    <row r="101" spans="1:9">
      <c r="A101" s="1">
        <v>7</v>
      </c>
      <c r="B101" s="1">
        <v>2</v>
      </c>
      <c r="C101" s="1" t="e">
        <f t="shared" si="1"/>
        <v>#DIV/0!</v>
      </c>
      <c r="D101" s="1"/>
      <c r="E101" s="1"/>
      <c r="F101" s="1"/>
      <c r="G101" s="1"/>
      <c r="H101" s="1"/>
      <c r="I101" s="11"/>
    </row>
    <row r="102" spans="1:9">
      <c r="A102" s="1">
        <v>7</v>
      </c>
      <c r="B102" s="1">
        <v>2</v>
      </c>
      <c r="C102" s="1" t="e">
        <f t="shared" si="1"/>
        <v>#DIV/0!</v>
      </c>
      <c r="D102" s="1"/>
      <c r="E102" s="1"/>
      <c r="F102" s="1"/>
      <c r="G102" s="1"/>
      <c r="H102" s="1"/>
      <c r="I102" s="11"/>
    </row>
    <row r="103" spans="1:9">
      <c r="A103" s="1">
        <v>7</v>
      </c>
      <c r="B103" s="1">
        <v>2</v>
      </c>
      <c r="C103" s="1" t="e">
        <f t="shared" si="1"/>
        <v>#DIV/0!</v>
      </c>
      <c r="D103" s="1"/>
      <c r="E103" s="1"/>
      <c r="F103" s="1"/>
      <c r="G103" s="1"/>
      <c r="H103" s="1"/>
      <c r="I103" s="11"/>
    </row>
    <row r="104" spans="1:9">
      <c r="A104" s="1">
        <v>7</v>
      </c>
      <c r="B104" s="1">
        <v>2</v>
      </c>
      <c r="C104" s="1" t="e">
        <f t="shared" si="1"/>
        <v>#DIV/0!</v>
      </c>
      <c r="D104" s="1"/>
      <c r="E104" s="1"/>
      <c r="F104" s="1"/>
      <c r="G104" s="1"/>
      <c r="H104" s="1"/>
      <c r="I104" s="11"/>
    </row>
    <row r="105" spans="1:9">
      <c r="A105" s="1">
        <v>7</v>
      </c>
      <c r="B105" s="1">
        <v>3</v>
      </c>
      <c r="C105" s="1" t="e">
        <f t="shared" si="1"/>
        <v>#DIV/0!</v>
      </c>
      <c r="D105" s="1"/>
      <c r="E105" s="1"/>
      <c r="F105" s="1"/>
      <c r="G105" s="1"/>
      <c r="H105" s="1"/>
      <c r="I105" s="11"/>
    </row>
    <row r="106" spans="1:9">
      <c r="A106" s="1">
        <v>7</v>
      </c>
      <c r="B106" s="1">
        <v>3</v>
      </c>
      <c r="C106" s="1" t="e">
        <f t="shared" si="1"/>
        <v>#DIV/0!</v>
      </c>
      <c r="D106" s="1"/>
      <c r="E106" s="1"/>
      <c r="F106" s="1"/>
      <c r="G106" s="1"/>
      <c r="H106" s="1"/>
      <c r="I106" s="11"/>
    </row>
    <row r="107" spans="1:9">
      <c r="A107" s="1">
        <v>7</v>
      </c>
      <c r="B107" s="1">
        <v>3</v>
      </c>
      <c r="C107" s="1" t="e">
        <f t="shared" si="1"/>
        <v>#DIV/0!</v>
      </c>
      <c r="D107" s="1"/>
      <c r="E107" s="1"/>
      <c r="F107" s="1"/>
      <c r="G107" s="1"/>
      <c r="H107" s="1"/>
      <c r="I107" s="11"/>
    </row>
    <row r="108" spans="1:9">
      <c r="A108" s="1">
        <v>7</v>
      </c>
      <c r="B108" s="1">
        <v>3</v>
      </c>
      <c r="C108" s="1" t="e">
        <f t="shared" si="1"/>
        <v>#DIV/0!</v>
      </c>
      <c r="D108" s="1"/>
      <c r="E108" s="1"/>
      <c r="F108" s="1"/>
      <c r="G108" s="1"/>
      <c r="H108" s="1"/>
      <c r="I108" s="11"/>
    </row>
    <row r="109" spans="1:9">
      <c r="A109" s="1">
        <v>7</v>
      </c>
      <c r="B109" s="1">
        <v>3</v>
      </c>
      <c r="C109" s="178" t="e">
        <f t="shared" si="1"/>
        <v>#DIV/0!</v>
      </c>
      <c r="D109" s="1"/>
      <c r="E109" s="1"/>
      <c r="F109" s="1"/>
      <c r="G109" s="1"/>
      <c r="H109" s="1"/>
      <c r="I109" s="11"/>
    </row>
    <row r="110" spans="1:9">
      <c r="A110" s="12">
        <v>8</v>
      </c>
      <c r="B110" s="12">
        <v>1</v>
      </c>
      <c r="C110" s="1" t="e">
        <f t="shared" si="1"/>
        <v>#DIV/0!</v>
      </c>
      <c r="D110" s="12"/>
      <c r="E110" s="12"/>
      <c r="F110" s="12"/>
      <c r="G110" s="12"/>
      <c r="H110" s="12"/>
      <c r="I110" s="24"/>
    </row>
    <row r="111" spans="1:9">
      <c r="A111" s="1">
        <v>8</v>
      </c>
      <c r="B111" s="1">
        <v>1</v>
      </c>
      <c r="C111" s="1" t="e">
        <f t="shared" si="1"/>
        <v>#DIV/0!</v>
      </c>
      <c r="D111" s="1"/>
      <c r="E111" s="1"/>
      <c r="F111" s="1"/>
      <c r="G111" s="1"/>
      <c r="H111" s="1"/>
      <c r="I111" s="11"/>
    </row>
    <row r="112" spans="1:9">
      <c r="A112" s="1">
        <v>8</v>
      </c>
      <c r="B112" s="1">
        <v>1</v>
      </c>
      <c r="C112" s="1" t="e">
        <f t="shared" si="1"/>
        <v>#DIV/0!</v>
      </c>
      <c r="D112" s="1"/>
      <c r="E112" s="1"/>
      <c r="F112" s="1"/>
      <c r="G112" s="1"/>
      <c r="H112" s="1"/>
      <c r="I112" s="11"/>
    </row>
    <row r="113" spans="1:9">
      <c r="A113" s="1">
        <v>8</v>
      </c>
      <c r="B113" s="1">
        <v>1</v>
      </c>
      <c r="C113" s="1" t="e">
        <f t="shared" si="1"/>
        <v>#DIV/0!</v>
      </c>
      <c r="D113" s="1"/>
      <c r="E113" s="1"/>
      <c r="F113" s="1"/>
      <c r="G113" s="1"/>
      <c r="H113" s="1"/>
      <c r="I113" s="11"/>
    </row>
    <row r="114" spans="1:9">
      <c r="A114" s="1">
        <v>8</v>
      </c>
      <c r="B114" s="1">
        <v>1</v>
      </c>
      <c r="C114" s="1" t="e">
        <f t="shared" si="1"/>
        <v>#DIV/0!</v>
      </c>
      <c r="D114" s="1"/>
      <c r="E114" s="1"/>
      <c r="F114" s="1"/>
      <c r="G114" s="1"/>
      <c r="H114" s="1"/>
      <c r="I114" s="11"/>
    </row>
    <row r="115" spans="1:9">
      <c r="A115" s="1">
        <v>8</v>
      </c>
      <c r="B115" s="1">
        <v>2</v>
      </c>
      <c r="C115" s="1" t="e">
        <f t="shared" si="1"/>
        <v>#DIV/0!</v>
      </c>
      <c r="D115" s="1"/>
      <c r="E115" s="1"/>
      <c r="F115" s="1"/>
      <c r="G115" s="1"/>
      <c r="H115" s="1"/>
      <c r="I115" s="11"/>
    </row>
    <row r="116" spans="1:9">
      <c r="A116" s="1">
        <v>8</v>
      </c>
      <c r="B116" s="1">
        <v>2</v>
      </c>
      <c r="C116" s="1" t="e">
        <f t="shared" si="1"/>
        <v>#DIV/0!</v>
      </c>
      <c r="D116" s="1"/>
      <c r="E116" s="1"/>
      <c r="F116" s="1"/>
      <c r="G116" s="1"/>
      <c r="H116" s="1"/>
      <c r="I116" s="11"/>
    </row>
    <row r="117" spans="1:9">
      <c r="A117" s="1">
        <v>8</v>
      </c>
      <c r="B117" s="1">
        <v>2</v>
      </c>
      <c r="C117" s="1" t="e">
        <f t="shared" si="1"/>
        <v>#DIV/0!</v>
      </c>
      <c r="D117" s="1"/>
      <c r="E117" s="1"/>
      <c r="F117" s="1"/>
      <c r="G117" s="1"/>
      <c r="H117" s="1"/>
      <c r="I117" s="11"/>
    </row>
    <row r="118" spans="1:9">
      <c r="A118" s="1">
        <v>8</v>
      </c>
      <c r="B118" s="1">
        <v>2</v>
      </c>
      <c r="C118" s="1" t="e">
        <f t="shared" si="1"/>
        <v>#DIV/0!</v>
      </c>
      <c r="D118" s="1"/>
      <c r="E118" s="1"/>
      <c r="F118" s="1"/>
      <c r="G118" s="1"/>
      <c r="H118" s="1"/>
      <c r="I118" s="11"/>
    </row>
    <row r="119" spans="1:9">
      <c r="A119" s="1">
        <v>8</v>
      </c>
      <c r="B119" s="1">
        <v>2</v>
      </c>
      <c r="C119" s="1" t="e">
        <f t="shared" si="1"/>
        <v>#DIV/0!</v>
      </c>
      <c r="D119" s="1"/>
      <c r="E119" s="1"/>
      <c r="F119" s="1"/>
      <c r="G119" s="1"/>
      <c r="H119" s="1"/>
      <c r="I119" s="11"/>
    </row>
    <row r="120" spans="1:9">
      <c r="A120" s="1">
        <v>8</v>
      </c>
      <c r="B120" s="1">
        <v>3</v>
      </c>
      <c r="C120" s="1" t="e">
        <f t="shared" si="1"/>
        <v>#DIV/0!</v>
      </c>
      <c r="D120" s="1"/>
      <c r="E120" s="1"/>
      <c r="F120" s="1"/>
      <c r="G120" s="1"/>
      <c r="H120" s="1"/>
      <c r="I120" s="11"/>
    </row>
    <row r="121" spans="1:9">
      <c r="A121" s="1">
        <v>8</v>
      </c>
      <c r="B121" s="1">
        <v>3</v>
      </c>
      <c r="C121" s="1" t="e">
        <f t="shared" si="1"/>
        <v>#DIV/0!</v>
      </c>
      <c r="D121" s="1"/>
      <c r="E121" s="1"/>
      <c r="F121" s="1"/>
      <c r="G121" s="1"/>
      <c r="H121" s="1"/>
      <c r="I121" s="11"/>
    </row>
    <row r="122" spans="1:9">
      <c r="A122" s="1">
        <v>8</v>
      </c>
      <c r="B122" s="1">
        <v>3</v>
      </c>
      <c r="C122" s="1" t="e">
        <f t="shared" si="1"/>
        <v>#DIV/0!</v>
      </c>
      <c r="D122" s="1"/>
      <c r="E122" s="1"/>
      <c r="F122" s="1"/>
      <c r="G122" s="1"/>
      <c r="H122" s="1"/>
      <c r="I122" s="11"/>
    </row>
    <row r="123" spans="1:9">
      <c r="A123" s="1">
        <v>8</v>
      </c>
      <c r="B123" s="1">
        <v>3</v>
      </c>
      <c r="C123" s="1" t="e">
        <f t="shared" si="1"/>
        <v>#DIV/0!</v>
      </c>
      <c r="D123" s="1"/>
      <c r="E123" s="1"/>
      <c r="F123" s="1"/>
      <c r="G123" s="1"/>
      <c r="H123" s="1"/>
      <c r="I123" s="11"/>
    </row>
    <row r="124" spans="1:9">
      <c r="A124" s="1">
        <v>8</v>
      </c>
      <c r="B124" s="1">
        <v>3</v>
      </c>
      <c r="C124" s="178" t="e">
        <f t="shared" si="1"/>
        <v>#DIV/0!</v>
      </c>
      <c r="D124" s="1"/>
      <c r="E124" s="1"/>
      <c r="F124" s="1"/>
      <c r="G124" s="1"/>
      <c r="H124" s="1"/>
      <c r="I124" s="11"/>
    </row>
    <row r="125" spans="1:9">
      <c r="A125" s="12">
        <v>9</v>
      </c>
      <c r="B125" s="27">
        <v>1</v>
      </c>
      <c r="C125" s="1" t="e">
        <f t="shared" si="1"/>
        <v>#DIV/0!</v>
      </c>
      <c r="D125" s="12"/>
      <c r="E125" s="12"/>
      <c r="F125" s="12"/>
      <c r="G125" s="12"/>
      <c r="H125" s="12"/>
      <c r="I125" s="24"/>
    </row>
    <row r="126" spans="1:9">
      <c r="A126" s="1">
        <v>9</v>
      </c>
      <c r="B126" s="26">
        <v>1</v>
      </c>
      <c r="C126" s="1" t="e">
        <f t="shared" si="1"/>
        <v>#DIV/0!</v>
      </c>
      <c r="D126" s="1"/>
      <c r="E126" s="1"/>
      <c r="F126" s="1"/>
      <c r="G126" s="1"/>
      <c r="H126" s="1"/>
      <c r="I126" s="11"/>
    </row>
    <row r="127" spans="1:9">
      <c r="A127" s="1">
        <v>9</v>
      </c>
      <c r="B127" s="26">
        <v>1</v>
      </c>
      <c r="C127" s="1" t="e">
        <f t="shared" si="1"/>
        <v>#DIV/0!</v>
      </c>
      <c r="D127" s="1"/>
      <c r="E127" s="1"/>
      <c r="F127" s="1"/>
      <c r="G127" s="1"/>
      <c r="H127" s="1"/>
      <c r="I127" s="11"/>
    </row>
    <row r="128" spans="1:9">
      <c r="A128" s="1">
        <v>9</v>
      </c>
      <c r="B128" s="26">
        <v>1</v>
      </c>
      <c r="C128" s="1" t="e">
        <f t="shared" si="1"/>
        <v>#DIV/0!</v>
      </c>
      <c r="D128" s="1"/>
      <c r="E128" s="1"/>
      <c r="F128" s="1"/>
      <c r="G128" s="1"/>
      <c r="H128" s="1"/>
      <c r="I128" s="11"/>
    </row>
    <row r="129" spans="1:9">
      <c r="A129" s="1">
        <v>9</v>
      </c>
      <c r="B129" s="26">
        <v>1</v>
      </c>
      <c r="C129" s="1" t="e">
        <f t="shared" si="1"/>
        <v>#DIV/0!</v>
      </c>
      <c r="D129" s="1"/>
      <c r="E129" s="1"/>
      <c r="F129" s="1"/>
      <c r="G129" s="1"/>
      <c r="H129" s="1"/>
      <c r="I129" s="11"/>
    </row>
    <row r="130" spans="1:9">
      <c r="A130" s="1">
        <v>9</v>
      </c>
      <c r="B130" s="26">
        <v>2</v>
      </c>
      <c r="C130" s="1" t="e">
        <f t="shared" si="1"/>
        <v>#DIV/0!</v>
      </c>
      <c r="D130" s="1"/>
      <c r="E130" s="1"/>
      <c r="F130" s="1"/>
      <c r="G130" s="1"/>
      <c r="H130" s="1"/>
      <c r="I130" s="11"/>
    </row>
    <row r="131" spans="1:9">
      <c r="A131" s="1">
        <v>9</v>
      </c>
      <c r="B131" s="26">
        <v>2</v>
      </c>
      <c r="C131" s="1" t="e">
        <f t="shared" si="1"/>
        <v>#DIV/0!</v>
      </c>
      <c r="D131" s="1"/>
      <c r="E131" s="1"/>
      <c r="F131" s="1"/>
      <c r="G131" s="1"/>
      <c r="H131" s="1"/>
      <c r="I131" s="11"/>
    </row>
    <row r="132" spans="1:9">
      <c r="A132" s="1">
        <v>9</v>
      </c>
      <c r="B132" s="26">
        <v>2</v>
      </c>
      <c r="C132" s="1" t="e">
        <f t="shared" si="1"/>
        <v>#DIV/0!</v>
      </c>
      <c r="D132" s="1"/>
      <c r="E132" s="1"/>
      <c r="F132" s="1"/>
      <c r="G132" s="1"/>
      <c r="H132" s="1"/>
      <c r="I132" s="11"/>
    </row>
    <row r="133" spans="1:9">
      <c r="A133" s="1">
        <v>9</v>
      </c>
      <c r="B133" s="26">
        <v>2</v>
      </c>
      <c r="C133" s="1" t="e">
        <f t="shared" si="1"/>
        <v>#DIV/0!</v>
      </c>
      <c r="D133" s="1"/>
      <c r="E133" s="1"/>
      <c r="F133" s="1"/>
      <c r="G133" s="1"/>
      <c r="H133" s="1"/>
      <c r="I133" s="11"/>
    </row>
    <row r="134" spans="1:9">
      <c r="A134" s="1">
        <v>9</v>
      </c>
      <c r="B134" s="26">
        <v>2</v>
      </c>
      <c r="C134" s="1" t="e">
        <f t="shared" ref="C134:C197" si="2">E134/F134</f>
        <v>#DIV/0!</v>
      </c>
      <c r="D134" s="1"/>
      <c r="E134" s="1"/>
      <c r="F134" s="1"/>
      <c r="G134" s="1"/>
      <c r="H134" s="1"/>
      <c r="I134" s="11"/>
    </row>
    <row r="135" spans="1:9">
      <c r="A135" s="1">
        <v>9</v>
      </c>
      <c r="B135" s="26">
        <v>3</v>
      </c>
      <c r="C135" s="1" t="e">
        <f t="shared" si="2"/>
        <v>#DIV/0!</v>
      </c>
      <c r="D135" s="1"/>
      <c r="E135" s="1"/>
      <c r="F135" s="1"/>
      <c r="G135" s="1"/>
      <c r="H135" s="1"/>
      <c r="I135" s="11"/>
    </row>
    <row r="136" spans="1:9">
      <c r="A136" s="1">
        <v>9</v>
      </c>
      <c r="B136" s="26">
        <v>3</v>
      </c>
      <c r="C136" s="1" t="e">
        <f t="shared" si="2"/>
        <v>#DIV/0!</v>
      </c>
      <c r="D136" s="1"/>
      <c r="E136" s="1"/>
      <c r="F136" s="1"/>
      <c r="G136" s="1"/>
      <c r="H136" s="1"/>
      <c r="I136" s="11"/>
    </row>
    <row r="137" spans="1:9">
      <c r="A137" s="1">
        <v>9</v>
      </c>
      <c r="B137" s="26">
        <v>3</v>
      </c>
      <c r="C137" s="1" t="e">
        <f t="shared" si="2"/>
        <v>#DIV/0!</v>
      </c>
      <c r="D137" s="1"/>
      <c r="E137" s="1"/>
      <c r="F137" s="1"/>
      <c r="G137" s="1"/>
      <c r="H137" s="1"/>
      <c r="I137" s="11"/>
    </row>
    <row r="138" spans="1:9">
      <c r="A138" s="1">
        <v>9</v>
      </c>
      <c r="B138" s="26">
        <v>3</v>
      </c>
      <c r="C138" s="1" t="e">
        <f t="shared" si="2"/>
        <v>#DIV/0!</v>
      </c>
      <c r="D138" s="1"/>
      <c r="E138" s="1"/>
      <c r="F138" s="1"/>
      <c r="G138" s="1"/>
      <c r="H138" s="1"/>
      <c r="I138" s="11"/>
    </row>
    <row r="139" spans="1:9">
      <c r="A139" s="1">
        <v>9</v>
      </c>
      <c r="B139" s="26">
        <v>3</v>
      </c>
      <c r="C139" s="178" t="e">
        <f t="shared" si="2"/>
        <v>#DIV/0!</v>
      </c>
      <c r="D139" s="1"/>
      <c r="E139" s="1"/>
      <c r="F139" s="1"/>
      <c r="G139" s="1"/>
      <c r="H139" s="1"/>
      <c r="I139" s="11"/>
    </row>
    <row r="140" spans="1:9">
      <c r="A140" s="12">
        <v>10</v>
      </c>
      <c r="B140" s="27">
        <v>1</v>
      </c>
      <c r="C140" s="1" t="e">
        <f t="shared" si="2"/>
        <v>#DIV/0!</v>
      </c>
      <c r="D140" s="12"/>
      <c r="E140" s="12"/>
      <c r="F140" s="12"/>
      <c r="G140" s="12"/>
      <c r="H140" s="12"/>
      <c r="I140" s="24"/>
    </row>
    <row r="141" spans="1:9">
      <c r="A141" s="1">
        <v>10</v>
      </c>
      <c r="B141" s="26">
        <v>1</v>
      </c>
      <c r="C141" s="1" t="e">
        <f t="shared" si="2"/>
        <v>#DIV/0!</v>
      </c>
      <c r="D141" s="1"/>
      <c r="E141" s="1"/>
      <c r="F141" s="1"/>
      <c r="G141" s="1"/>
      <c r="H141" s="1"/>
      <c r="I141" s="11"/>
    </row>
    <row r="142" spans="1:9">
      <c r="A142" s="1">
        <v>10</v>
      </c>
      <c r="B142" s="26">
        <v>1</v>
      </c>
      <c r="C142" s="1" t="e">
        <f t="shared" si="2"/>
        <v>#DIV/0!</v>
      </c>
      <c r="D142" s="1"/>
      <c r="E142" s="1"/>
      <c r="F142" s="1"/>
      <c r="G142" s="1"/>
      <c r="H142" s="1"/>
      <c r="I142" s="11"/>
    </row>
    <row r="143" spans="1:9">
      <c r="A143" s="1">
        <v>10</v>
      </c>
      <c r="B143" s="26">
        <v>1</v>
      </c>
      <c r="C143" s="1" t="e">
        <f t="shared" si="2"/>
        <v>#DIV/0!</v>
      </c>
      <c r="D143" s="1"/>
      <c r="E143" s="1"/>
      <c r="F143" s="1"/>
      <c r="G143" s="1"/>
      <c r="H143" s="1"/>
      <c r="I143" s="11"/>
    </row>
    <row r="144" spans="1:9">
      <c r="A144" s="1">
        <v>10</v>
      </c>
      <c r="B144" s="26">
        <v>1</v>
      </c>
      <c r="C144" s="1" t="e">
        <f t="shared" si="2"/>
        <v>#DIV/0!</v>
      </c>
      <c r="D144" s="1"/>
      <c r="E144" s="1"/>
      <c r="F144" s="1"/>
      <c r="G144" s="1"/>
      <c r="H144" s="1"/>
      <c r="I144" s="11"/>
    </row>
    <row r="145" spans="1:9">
      <c r="A145" s="1">
        <v>10</v>
      </c>
      <c r="B145" s="26">
        <v>2</v>
      </c>
      <c r="C145" s="1" t="e">
        <f t="shared" si="2"/>
        <v>#DIV/0!</v>
      </c>
      <c r="D145" s="1"/>
      <c r="E145" s="1"/>
      <c r="F145" s="1"/>
      <c r="G145" s="1"/>
      <c r="H145" s="1"/>
      <c r="I145" s="11"/>
    </row>
    <row r="146" spans="1:9">
      <c r="A146" s="1">
        <v>10</v>
      </c>
      <c r="B146" s="26">
        <v>2</v>
      </c>
      <c r="C146" s="1" t="e">
        <f t="shared" si="2"/>
        <v>#DIV/0!</v>
      </c>
      <c r="D146" s="1"/>
      <c r="E146" s="1"/>
      <c r="F146" s="1"/>
      <c r="G146" s="1"/>
      <c r="H146" s="1"/>
      <c r="I146" s="11"/>
    </row>
    <row r="147" spans="1:9">
      <c r="A147" s="1">
        <v>10</v>
      </c>
      <c r="B147" s="26">
        <v>2</v>
      </c>
      <c r="C147" s="1" t="e">
        <f t="shared" si="2"/>
        <v>#DIV/0!</v>
      </c>
      <c r="D147" s="1"/>
      <c r="E147" s="1"/>
      <c r="F147" s="1"/>
      <c r="G147" s="1"/>
      <c r="H147" s="1"/>
      <c r="I147" s="11"/>
    </row>
    <row r="148" spans="1:9">
      <c r="A148" s="1">
        <v>10</v>
      </c>
      <c r="B148" s="26">
        <v>2</v>
      </c>
      <c r="C148" s="1" t="e">
        <f t="shared" si="2"/>
        <v>#DIV/0!</v>
      </c>
      <c r="D148" s="1"/>
      <c r="E148" s="1"/>
      <c r="F148" s="1"/>
      <c r="G148" s="1"/>
      <c r="H148" s="1"/>
      <c r="I148" s="11"/>
    </row>
    <row r="149" spans="1:9">
      <c r="A149" s="1">
        <v>10</v>
      </c>
      <c r="B149" s="26">
        <v>2</v>
      </c>
      <c r="C149" s="1" t="e">
        <f t="shared" si="2"/>
        <v>#DIV/0!</v>
      </c>
      <c r="D149" s="1"/>
      <c r="E149" s="1"/>
      <c r="F149" s="1"/>
      <c r="G149" s="1"/>
      <c r="H149" s="1"/>
      <c r="I149" s="11"/>
    </row>
    <row r="150" spans="1:9">
      <c r="A150" s="1">
        <v>10</v>
      </c>
      <c r="B150" s="26">
        <v>3</v>
      </c>
      <c r="C150" s="1" t="e">
        <f t="shared" si="2"/>
        <v>#DIV/0!</v>
      </c>
      <c r="D150" s="1"/>
      <c r="E150" s="1"/>
      <c r="F150" s="1"/>
      <c r="G150" s="1"/>
      <c r="H150" s="1"/>
      <c r="I150" s="11"/>
    </row>
    <row r="151" spans="1:9">
      <c r="A151" s="1">
        <v>10</v>
      </c>
      <c r="B151" s="26">
        <v>3</v>
      </c>
      <c r="C151" s="1" t="e">
        <f t="shared" si="2"/>
        <v>#DIV/0!</v>
      </c>
      <c r="D151" s="1"/>
      <c r="E151" s="1"/>
      <c r="F151" s="1"/>
      <c r="G151" s="1"/>
      <c r="H151" s="1"/>
      <c r="I151" s="11"/>
    </row>
    <row r="152" spans="1:9">
      <c r="A152" s="1">
        <v>10</v>
      </c>
      <c r="B152" s="26">
        <v>3</v>
      </c>
      <c r="C152" s="1" t="e">
        <f t="shared" si="2"/>
        <v>#DIV/0!</v>
      </c>
      <c r="D152" s="1"/>
      <c r="E152" s="1"/>
      <c r="F152" s="1"/>
      <c r="G152" s="1"/>
      <c r="H152" s="1"/>
      <c r="I152" s="11"/>
    </row>
    <row r="153" spans="1:9">
      <c r="A153" s="1">
        <v>10</v>
      </c>
      <c r="B153" s="26">
        <v>3</v>
      </c>
      <c r="C153" s="1" t="e">
        <f t="shared" si="2"/>
        <v>#DIV/0!</v>
      </c>
      <c r="D153" s="1"/>
      <c r="E153" s="1"/>
      <c r="F153" s="1"/>
      <c r="G153" s="1"/>
      <c r="H153" s="1"/>
      <c r="I153" s="11"/>
    </row>
    <row r="154" spans="1:9">
      <c r="A154" s="1">
        <v>10</v>
      </c>
      <c r="B154" s="26">
        <v>3</v>
      </c>
      <c r="C154" s="178" t="e">
        <f t="shared" si="2"/>
        <v>#DIV/0!</v>
      </c>
      <c r="D154" s="1"/>
      <c r="E154" s="1"/>
      <c r="F154" s="1"/>
      <c r="G154" s="1"/>
      <c r="H154" s="1"/>
      <c r="I154" s="11"/>
    </row>
    <row r="155" spans="1:9">
      <c r="A155" s="12">
        <v>11</v>
      </c>
      <c r="B155" s="27">
        <v>1</v>
      </c>
      <c r="C155" s="1" t="e">
        <f t="shared" si="2"/>
        <v>#DIV/0!</v>
      </c>
      <c r="D155" s="12"/>
      <c r="E155" s="12"/>
      <c r="F155" s="12"/>
      <c r="G155" s="12"/>
      <c r="H155" s="12"/>
      <c r="I155" s="24"/>
    </row>
    <row r="156" spans="1:9">
      <c r="A156" s="1">
        <v>11</v>
      </c>
      <c r="B156" s="26">
        <v>1</v>
      </c>
      <c r="C156" s="1" t="e">
        <f t="shared" si="2"/>
        <v>#DIV/0!</v>
      </c>
      <c r="D156" s="1"/>
      <c r="E156" s="1"/>
      <c r="F156" s="1"/>
      <c r="G156" s="1"/>
      <c r="H156" s="1"/>
      <c r="I156" s="11"/>
    </row>
    <row r="157" spans="1:9">
      <c r="A157" s="1">
        <v>11</v>
      </c>
      <c r="B157" s="26">
        <v>1</v>
      </c>
      <c r="C157" s="1" t="e">
        <f t="shared" si="2"/>
        <v>#DIV/0!</v>
      </c>
      <c r="D157" s="1"/>
      <c r="E157" s="1"/>
      <c r="F157" s="1"/>
      <c r="G157" s="1"/>
      <c r="H157" s="1"/>
      <c r="I157" s="11"/>
    </row>
    <row r="158" spans="1:9">
      <c r="A158" s="1">
        <v>11</v>
      </c>
      <c r="B158" s="26">
        <v>1</v>
      </c>
      <c r="C158" s="1" t="e">
        <f t="shared" si="2"/>
        <v>#DIV/0!</v>
      </c>
      <c r="D158" s="1"/>
      <c r="E158" s="1"/>
      <c r="F158" s="1"/>
      <c r="G158" s="1"/>
      <c r="H158" s="1"/>
      <c r="I158" s="11"/>
    </row>
    <row r="159" spans="1:9">
      <c r="A159" s="1">
        <v>11</v>
      </c>
      <c r="B159" s="26">
        <v>1</v>
      </c>
      <c r="C159" s="1" t="e">
        <f t="shared" si="2"/>
        <v>#DIV/0!</v>
      </c>
      <c r="D159" s="1"/>
      <c r="E159" s="1"/>
      <c r="F159" s="1"/>
      <c r="G159" s="1"/>
      <c r="H159" s="1"/>
      <c r="I159" s="11"/>
    </row>
    <row r="160" spans="1:9">
      <c r="A160" s="1">
        <v>11</v>
      </c>
      <c r="B160" s="26">
        <v>2</v>
      </c>
      <c r="C160" s="1" t="e">
        <f t="shared" si="2"/>
        <v>#DIV/0!</v>
      </c>
      <c r="D160" s="1"/>
      <c r="E160" s="1"/>
      <c r="F160" s="1"/>
      <c r="G160" s="1"/>
      <c r="H160" s="1"/>
      <c r="I160" s="11"/>
    </row>
    <row r="161" spans="1:9">
      <c r="A161" s="1">
        <v>11</v>
      </c>
      <c r="B161" s="26">
        <v>2</v>
      </c>
      <c r="C161" s="1" t="e">
        <f t="shared" si="2"/>
        <v>#DIV/0!</v>
      </c>
      <c r="D161" s="1"/>
      <c r="E161" s="1"/>
      <c r="F161" s="1"/>
      <c r="G161" s="1"/>
      <c r="H161" s="1"/>
      <c r="I161" s="11"/>
    </row>
    <row r="162" spans="1:9">
      <c r="A162" s="1">
        <v>11</v>
      </c>
      <c r="B162" s="26">
        <v>2</v>
      </c>
      <c r="C162" s="1" t="e">
        <f t="shared" si="2"/>
        <v>#DIV/0!</v>
      </c>
      <c r="D162" s="1"/>
      <c r="E162" s="1"/>
      <c r="F162" s="1"/>
      <c r="G162" s="1"/>
      <c r="H162" s="1"/>
      <c r="I162" s="11"/>
    </row>
    <row r="163" spans="1:9">
      <c r="A163" s="1">
        <v>11</v>
      </c>
      <c r="B163" s="26">
        <v>2</v>
      </c>
      <c r="C163" s="1" t="e">
        <f t="shared" si="2"/>
        <v>#DIV/0!</v>
      </c>
      <c r="D163" s="1"/>
      <c r="E163" s="1"/>
      <c r="F163" s="1"/>
      <c r="G163" s="1"/>
      <c r="H163" s="1"/>
      <c r="I163" s="11"/>
    </row>
    <row r="164" spans="1:9">
      <c r="A164" s="1">
        <v>11</v>
      </c>
      <c r="B164" s="26">
        <v>2</v>
      </c>
      <c r="C164" s="1" t="e">
        <f t="shared" si="2"/>
        <v>#DIV/0!</v>
      </c>
      <c r="D164" s="1"/>
      <c r="E164" s="1"/>
      <c r="F164" s="1"/>
      <c r="G164" s="1"/>
      <c r="H164" s="1"/>
      <c r="I164" s="11"/>
    </row>
    <row r="165" spans="1:9">
      <c r="A165" s="1">
        <v>11</v>
      </c>
      <c r="B165" s="26">
        <v>3</v>
      </c>
      <c r="C165" s="1" t="e">
        <f t="shared" si="2"/>
        <v>#DIV/0!</v>
      </c>
      <c r="D165" s="1"/>
      <c r="E165" s="1"/>
      <c r="F165" s="1"/>
      <c r="G165" s="1"/>
      <c r="H165" s="1"/>
      <c r="I165" s="11"/>
    </row>
    <row r="166" spans="1:9">
      <c r="A166" s="1">
        <v>11</v>
      </c>
      <c r="B166" s="26">
        <v>3</v>
      </c>
      <c r="C166" s="1" t="e">
        <f t="shared" si="2"/>
        <v>#DIV/0!</v>
      </c>
      <c r="D166" s="1"/>
      <c r="E166" s="1"/>
      <c r="F166" s="1"/>
      <c r="G166" s="1"/>
      <c r="H166" s="1"/>
      <c r="I166" s="11"/>
    </row>
    <row r="167" spans="1:9">
      <c r="A167" s="1">
        <v>11</v>
      </c>
      <c r="B167" s="26">
        <v>3</v>
      </c>
      <c r="C167" s="1" t="e">
        <f t="shared" si="2"/>
        <v>#DIV/0!</v>
      </c>
      <c r="D167" s="1"/>
      <c r="E167" s="1"/>
      <c r="F167" s="1"/>
      <c r="G167" s="1"/>
      <c r="H167" s="1"/>
      <c r="I167" s="11"/>
    </row>
    <row r="168" spans="1:9">
      <c r="A168" s="1">
        <v>11</v>
      </c>
      <c r="B168" s="26">
        <v>3</v>
      </c>
      <c r="C168" s="1" t="e">
        <f t="shared" si="2"/>
        <v>#DIV/0!</v>
      </c>
      <c r="D168" s="1"/>
      <c r="E168" s="1"/>
      <c r="F168" s="1"/>
      <c r="G168" s="1"/>
      <c r="H168" s="1"/>
      <c r="I168" s="11"/>
    </row>
    <row r="169" spans="1:9">
      <c r="A169" s="1">
        <v>11</v>
      </c>
      <c r="B169" s="26">
        <v>3</v>
      </c>
      <c r="C169" s="178" t="e">
        <f t="shared" si="2"/>
        <v>#DIV/0!</v>
      </c>
      <c r="D169" s="1"/>
      <c r="E169" s="1"/>
      <c r="F169" s="1"/>
      <c r="G169" s="1"/>
      <c r="H169" s="1"/>
      <c r="I169" s="11"/>
    </row>
    <row r="170" spans="1:9">
      <c r="A170" s="12">
        <v>12</v>
      </c>
      <c r="B170" s="27">
        <v>1</v>
      </c>
      <c r="C170" s="1" t="e">
        <f t="shared" si="2"/>
        <v>#DIV/0!</v>
      </c>
      <c r="D170" s="12"/>
      <c r="E170" s="12"/>
      <c r="F170" s="12"/>
      <c r="G170" s="12"/>
      <c r="H170" s="12"/>
      <c r="I170" s="24"/>
    </row>
    <row r="171" spans="1:9">
      <c r="A171" s="1">
        <v>12</v>
      </c>
      <c r="B171" s="26">
        <v>1</v>
      </c>
      <c r="C171" s="1" t="e">
        <f t="shared" si="2"/>
        <v>#DIV/0!</v>
      </c>
      <c r="D171" s="1"/>
      <c r="E171" s="1"/>
      <c r="F171" s="1"/>
      <c r="G171" s="1"/>
      <c r="H171" s="1"/>
      <c r="I171" s="11"/>
    </row>
    <row r="172" spans="1:9">
      <c r="A172" s="1">
        <v>12</v>
      </c>
      <c r="B172" s="26">
        <v>1</v>
      </c>
      <c r="C172" s="1" t="e">
        <f t="shared" si="2"/>
        <v>#DIV/0!</v>
      </c>
      <c r="D172" s="1"/>
      <c r="E172" s="1"/>
      <c r="F172" s="1"/>
      <c r="G172" s="1"/>
      <c r="H172" s="1"/>
      <c r="I172" s="11"/>
    </row>
    <row r="173" spans="1:9">
      <c r="A173" s="1">
        <v>12</v>
      </c>
      <c r="B173" s="26">
        <v>1</v>
      </c>
      <c r="C173" s="1" t="e">
        <f t="shared" si="2"/>
        <v>#DIV/0!</v>
      </c>
      <c r="D173" s="1"/>
      <c r="E173" s="1"/>
      <c r="F173" s="1"/>
      <c r="G173" s="1"/>
      <c r="H173" s="1"/>
      <c r="I173" s="11"/>
    </row>
    <row r="174" spans="1:9">
      <c r="A174" s="1">
        <v>12</v>
      </c>
      <c r="B174" s="26">
        <v>1</v>
      </c>
      <c r="C174" s="1" t="e">
        <f t="shared" si="2"/>
        <v>#DIV/0!</v>
      </c>
      <c r="D174" s="1"/>
      <c r="E174" s="1"/>
      <c r="F174" s="1"/>
      <c r="G174" s="1"/>
      <c r="H174" s="1"/>
      <c r="I174" s="11"/>
    </row>
    <row r="175" spans="1:9">
      <c r="A175" s="1">
        <v>12</v>
      </c>
      <c r="B175" s="26">
        <v>2</v>
      </c>
      <c r="C175" s="1" t="e">
        <f t="shared" si="2"/>
        <v>#DIV/0!</v>
      </c>
      <c r="D175" s="1"/>
      <c r="E175" s="1"/>
      <c r="F175" s="1"/>
      <c r="G175" s="1"/>
      <c r="H175" s="1"/>
      <c r="I175" s="11"/>
    </row>
    <row r="176" spans="1:9">
      <c r="A176" s="1">
        <v>12</v>
      </c>
      <c r="B176" s="26">
        <v>2</v>
      </c>
      <c r="C176" s="1" t="e">
        <f t="shared" si="2"/>
        <v>#DIV/0!</v>
      </c>
      <c r="D176" s="1"/>
      <c r="E176" s="1"/>
      <c r="F176" s="1"/>
      <c r="G176" s="1"/>
      <c r="H176" s="1"/>
      <c r="I176" s="11"/>
    </row>
    <row r="177" spans="1:9">
      <c r="A177" s="1">
        <v>12</v>
      </c>
      <c r="B177" s="26">
        <v>2</v>
      </c>
      <c r="C177" s="1" t="e">
        <f t="shared" si="2"/>
        <v>#DIV/0!</v>
      </c>
      <c r="D177" s="1"/>
      <c r="E177" s="1"/>
      <c r="F177" s="1"/>
      <c r="G177" s="1"/>
      <c r="H177" s="1"/>
      <c r="I177" s="11"/>
    </row>
    <row r="178" spans="1:9">
      <c r="A178" s="1">
        <v>12</v>
      </c>
      <c r="B178" s="26">
        <v>2</v>
      </c>
      <c r="C178" s="1" t="e">
        <f t="shared" si="2"/>
        <v>#DIV/0!</v>
      </c>
      <c r="D178" s="1"/>
      <c r="E178" s="1"/>
      <c r="F178" s="1"/>
      <c r="G178" s="1"/>
      <c r="H178" s="1"/>
      <c r="I178" s="11"/>
    </row>
    <row r="179" spans="1:9">
      <c r="A179" s="1">
        <v>12</v>
      </c>
      <c r="B179" s="26">
        <v>2</v>
      </c>
      <c r="C179" s="1" t="e">
        <f t="shared" si="2"/>
        <v>#DIV/0!</v>
      </c>
      <c r="D179" s="1"/>
      <c r="E179" s="1"/>
      <c r="F179" s="1"/>
      <c r="G179" s="1"/>
      <c r="H179" s="1"/>
      <c r="I179" s="11"/>
    </row>
    <row r="180" spans="1:9">
      <c r="A180" s="1">
        <v>12</v>
      </c>
      <c r="B180" s="26">
        <v>3</v>
      </c>
      <c r="C180" s="1" t="e">
        <f t="shared" si="2"/>
        <v>#DIV/0!</v>
      </c>
      <c r="D180" s="1"/>
      <c r="E180" s="1"/>
      <c r="F180" s="1"/>
      <c r="G180" s="1"/>
      <c r="H180" s="1"/>
      <c r="I180" s="11"/>
    </row>
    <row r="181" spans="1:9">
      <c r="A181" s="1">
        <v>12</v>
      </c>
      <c r="B181" s="26">
        <v>3</v>
      </c>
      <c r="C181" s="1" t="e">
        <f t="shared" si="2"/>
        <v>#DIV/0!</v>
      </c>
      <c r="D181" s="1"/>
      <c r="E181" s="1"/>
      <c r="F181" s="1"/>
      <c r="G181" s="1"/>
      <c r="H181" s="1"/>
      <c r="I181" s="11"/>
    </row>
    <row r="182" spans="1:9">
      <c r="A182" s="1">
        <v>12</v>
      </c>
      <c r="B182" s="26">
        <v>3</v>
      </c>
      <c r="C182" s="1" t="e">
        <f t="shared" si="2"/>
        <v>#DIV/0!</v>
      </c>
      <c r="D182" s="1"/>
      <c r="E182" s="1"/>
      <c r="F182" s="1"/>
      <c r="G182" s="1"/>
      <c r="H182" s="1"/>
      <c r="I182" s="11"/>
    </row>
    <row r="183" spans="1:9">
      <c r="A183" s="1">
        <v>12</v>
      </c>
      <c r="B183" s="26">
        <v>3</v>
      </c>
      <c r="C183" s="1" t="e">
        <f t="shared" si="2"/>
        <v>#DIV/0!</v>
      </c>
      <c r="D183" s="1"/>
      <c r="E183" s="1"/>
      <c r="F183" s="1"/>
      <c r="G183" s="1"/>
      <c r="H183" s="1"/>
      <c r="I183" s="11"/>
    </row>
    <row r="184" spans="1:9">
      <c r="A184" s="1">
        <v>12</v>
      </c>
      <c r="B184" s="26">
        <v>3</v>
      </c>
      <c r="C184" s="178" t="e">
        <f t="shared" si="2"/>
        <v>#DIV/0!</v>
      </c>
      <c r="D184" s="1"/>
      <c r="E184" s="1"/>
      <c r="F184" s="1"/>
      <c r="G184" s="1"/>
      <c r="H184" s="1"/>
      <c r="I184" s="11"/>
    </row>
    <row r="185" spans="1:9">
      <c r="A185" s="12">
        <v>13</v>
      </c>
      <c r="B185" s="27">
        <v>1</v>
      </c>
      <c r="C185" s="1" t="e">
        <f t="shared" si="2"/>
        <v>#DIV/0!</v>
      </c>
      <c r="D185" s="12"/>
      <c r="E185" s="12"/>
      <c r="F185" s="12"/>
      <c r="G185" s="12"/>
      <c r="H185" s="12"/>
      <c r="I185" s="24"/>
    </row>
    <row r="186" spans="1:9">
      <c r="A186" s="1">
        <v>13</v>
      </c>
      <c r="B186" s="26">
        <v>1</v>
      </c>
      <c r="C186" s="1" t="e">
        <f t="shared" si="2"/>
        <v>#DIV/0!</v>
      </c>
      <c r="D186" s="1"/>
      <c r="E186" s="1"/>
      <c r="F186" s="1"/>
      <c r="G186" s="1"/>
      <c r="H186" s="1"/>
      <c r="I186" s="11"/>
    </row>
    <row r="187" spans="1:9">
      <c r="A187" s="1">
        <v>13</v>
      </c>
      <c r="B187" s="26">
        <v>1</v>
      </c>
      <c r="C187" s="1" t="e">
        <f t="shared" si="2"/>
        <v>#DIV/0!</v>
      </c>
      <c r="D187" s="1"/>
      <c r="E187" s="1"/>
      <c r="F187" s="1"/>
      <c r="G187" s="1"/>
      <c r="H187" s="1"/>
      <c r="I187" s="11"/>
    </row>
    <row r="188" spans="1:9">
      <c r="A188" s="1">
        <v>13</v>
      </c>
      <c r="B188" s="26">
        <v>1</v>
      </c>
      <c r="C188" s="1" t="e">
        <f t="shared" si="2"/>
        <v>#DIV/0!</v>
      </c>
      <c r="D188" s="1"/>
      <c r="E188" s="1"/>
      <c r="F188" s="1"/>
      <c r="G188" s="1"/>
      <c r="H188" s="1"/>
      <c r="I188" s="11"/>
    </row>
    <row r="189" spans="1:9">
      <c r="A189" s="1">
        <v>13</v>
      </c>
      <c r="B189" s="26">
        <v>1</v>
      </c>
      <c r="C189" s="1" t="e">
        <f t="shared" si="2"/>
        <v>#DIV/0!</v>
      </c>
      <c r="D189" s="1"/>
      <c r="E189" s="1"/>
      <c r="F189" s="1"/>
      <c r="G189" s="1"/>
      <c r="H189" s="1"/>
      <c r="I189" s="11"/>
    </row>
    <row r="190" spans="1:9">
      <c r="A190" s="1">
        <v>13</v>
      </c>
      <c r="B190" s="26">
        <v>2</v>
      </c>
      <c r="C190" s="1" t="e">
        <f t="shared" si="2"/>
        <v>#DIV/0!</v>
      </c>
      <c r="D190" s="1"/>
      <c r="E190" s="1"/>
      <c r="F190" s="1"/>
      <c r="G190" s="1"/>
      <c r="H190" s="1"/>
      <c r="I190" s="11"/>
    </row>
    <row r="191" spans="1:9">
      <c r="A191" s="1">
        <v>13</v>
      </c>
      <c r="B191" s="26">
        <v>2</v>
      </c>
      <c r="C191" s="1" t="e">
        <f t="shared" si="2"/>
        <v>#DIV/0!</v>
      </c>
      <c r="D191" s="1"/>
      <c r="E191" s="1"/>
      <c r="F191" s="1"/>
      <c r="G191" s="1"/>
      <c r="H191" s="1"/>
      <c r="I191" s="11"/>
    </row>
    <row r="192" spans="1:9">
      <c r="A192" s="1">
        <v>13</v>
      </c>
      <c r="B192" s="26">
        <v>2</v>
      </c>
      <c r="C192" s="1" t="e">
        <f t="shared" si="2"/>
        <v>#DIV/0!</v>
      </c>
      <c r="D192" s="1"/>
      <c r="E192" s="1"/>
      <c r="F192" s="1"/>
      <c r="G192" s="1"/>
      <c r="H192" s="1"/>
      <c r="I192" s="11"/>
    </row>
    <row r="193" spans="1:9">
      <c r="A193" s="1">
        <v>13</v>
      </c>
      <c r="B193" s="26">
        <v>2</v>
      </c>
      <c r="C193" s="1" t="e">
        <f t="shared" si="2"/>
        <v>#DIV/0!</v>
      </c>
      <c r="D193" s="1"/>
      <c r="E193" s="1"/>
      <c r="F193" s="1"/>
      <c r="G193" s="1"/>
      <c r="H193" s="1"/>
      <c r="I193" s="11"/>
    </row>
    <row r="194" spans="1:9">
      <c r="A194" s="1">
        <v>13</v>
      </c>
      <c r="B194" s="26">
        <v>2</v>
      </c>
      <c r="C194" s="1" t="e">
        <f t="shared" si="2"/>
        <v>#DIV/0!</v>
      </c>
      <c r="D194" s="1"/>
      <c r="E194" s="1"/>
      <c r="F194" s="1"/>
      <c r="G194" s="1"/>
      <c r="H194" s="1"/>
      <c r="I194" s="11"/>
    </row>
    <row r="195" spans="1:9">
      <c r="A195" s="1">
        <v>13</v>
      </c>
      <c r="B195" s="26">
        <v>3</v>
      </c>
      <c r="C195" s="1" t="e">
        <f t="shared" si="2"/>
        <v>#DIV/0!</v>
      </c>
      <c r="D195" s="1"/>
      <c r="E195" s="1"/>
      <c r="F195" s="1"/>
      <c r="G195" s="1"/>
      <c r="H195" s="1"/>
      <c r="I195" s="11"/>
    </row>
    <row r="196" spans="1:9">
      <c r="A196" s="1">
        <v>13</v>
      </c>
      <c r="B196" s="26">
        <v>3</v>
      </c>
      <c r="C196" s="1" t="e">
        <f t="shared" si="2"/>
        <v>#DIV/0!</v>
      </c>
      <c r="D196" s="1"/>
      <c r="E196" s="1"/>
      <c r="F196" s="1"/>
      <c r="G196" s="1"/>
      <c r="H196" s="1"/>
      <c r="I196" s="11"/>
    </row>
    <row r="197" spans="1:9">
      <c r="A197" s="1">
        <v>13</v>
      </c>
      <c r="B197" s="26">
        <v>3</v>
      </c>
      <c r="C197" s="1" t="e">
        <f t="shared" si="2"/>
        <v>#DIV/0!</v>
      </c>
      <c r="D197" s="1"/>
      <c r="E197" s="1"/>
      <c r="F197" s="1"/>
      <c r="G197" s="1"/>
      <c r="H197" s="1"/>
      <c r="I197" s="11"/>
    </row>
    <row r="198" spans="1:9">
      <c r="A198" s="1">
        <v>13</v>
      </c>
      <c r="B198" s="26">
        <v>3</v>
      </c>
      <c r="C198" s="1" t="e">
        <f t="shared" ref="C198:C229" si="3">E198/F198</f>
        <v>#DIV/0!</v>
      </c>
      <c r="D198" s="1"/>
      <c r="E198" s="1"/>
      <c r="F198" s="1"/>
      <c r="G198" s="1"/>
      <c r="H198" s="1"/>
      <c r="I198" s="11"/>
    </row>
    <row r="199" spans="1:9">
      <c r="A199" s="1">
        <v>13</v>
      </c>
      <c r="B199" s="26">
        <v>3</v>
      </c>
      <c r="C199" s="178" t="e">
        <f t="shared" si="3"/>
        <v>#DIV/0!</v>
      </c>
      <c r="D199" s="1"/>
      <c r="E199" s="1"/>
      <c r="F199" s="1"/>
      <c r="G199" s="1"/>
      <c r="H199" s="1"/>
      <c r="I199" s="11"/>
    </row>
    <row r="200" spans="1:9">
      <c r="A200" s="12">
        <v>14</v>
      </c>
      <c r="B200" s="27">
        <v>1</v>
      </c>
      <c r="C200" s="1" t="e">
        <f t="shared" si="3"/>
        <v>#DIV/0!</v>
      </c>
      <c r="D200" s="12"/>
      <c r="E200" s="12"/>
      <c r="F200" s="12"/>
      <c r="G200" s="12"/>
      <c r="H200" s="12"/>
      <c r="I200" s="24"/>
    </row>
    <row r="201" spans="1:9">
      <c r="A201" s="1">
        <v>14</v>
      </c>
      <c r="B201" s="26">
        <v>1</v>
      </c>
      <c r="C201" s="1" t="e">
        <f t="shared" si="3"/>
        <v>#DIV/0!</v>
      </c>
      <c r="D201" s="1"/>
      <c r="E201" s="1"/>
      <c r="F201" s="1"/>
      <c r="G201" s="1"/>
      <c r="H201" s="1"/>
      <c r="I201" s="11"/>
    </row>
    <row r="202" spans="1:9">
      <c r="A202" s="1">
        <v>14</v>
      </c>
      <c r="B202" s="26">
        <v>1</v>
      </c>
      <c r="C202" s="1" t="e">
        <f t="shared" si="3"/>
        <v>#DIV/0!</v>
      </c>
      <c r="D202" s="1"/>
      <c r="E202" s="1"/>
      <c r="F202" s="1"/>
      <c r="G202" s="1"/>
      <c r="H202" s="1"/>
      <c r="I202" s="11"/>
    </row>
    <row r="203" spans="1:9">
      <c r="A203" s="1">
        <v>14</v>
      </c>
      <c r="B203" s="26">
        <v>1</v>
      </c>
      <c r="C203" s="1" t="e">
        <f t="shared" si="3"/>
        <v>#DIV/0!</v>
      </c>
      <c r="D203" s="1"/>
      <c r="E203" s="1"/>
      <c r="F203" s="1"/>
      <c r="G203" s="1"/>
      <c r="H203" s="1"/>
      <c r="I203" s="11"/>
    </row>
    <row r="204" spans="1:9">
      <c r="A204" s="1">
        <v>14</v>
      </c>
      <c r="B204" s="26">
        <v>1</v>
      </c>
      <c r="C204" s="1" t="e">
        <f t="shared" si="3"/>
        <v>#DIV/0!</v>
      </c>
      <c r="D204" s="1"/>
      <c r="E204" s="1"/>
      <c r="F204" s="1"/>
      <c r="G204" s="1"/>
      <c r="H204" s="1"/>
      <c r="I204" s="11"/>
    </row>
    <row r="205" spans="1:9">
      <c r="A205" s="1">
        <v>14</v>
      </c>
      <c r="B205" s="26">
        <v>2</v>
      </c>
      <c r="C205" s="1" t="e">
        <f t="shared" si="3"/>
        <v>#DIV/0!</v>
      </c>
      <c r="D205" s="1"/>
      <c r="E205" s="1"/>
      <c r="F205" s="1"/>
      <c r="G205" s="1"/>
      <c r="H205" s="1"/>
      <c r="I205" s="11"/>
    </row>
    <row r="206" spans="1:9">
      <c r="A206" s="1">
        <v>14</v>
      </c>
      <c r="B206" s="26">
        <v>2</v>
      </c>
      <c r="C206" s="1" t="e">
        <f t="shared" si="3"/>
        <v>#DIV/0!</v>
      </c>
      <c r="D206" s="1"/>
      <c r="E206" s="1"/>
      <c r="F206" s="1"/>
      <c r="G206" s="1"/>
      <c r="H206" s="1"/>
      <c r="I206" s="11"/>
    </row>
    <row r="207" spans="1:9">
      <c r="A207" s="1">
        <v>14</v>
      </c>
      <c r="B207" s="26">
        <v>2</v>
      </c>
      <c r="C207" s="1" t="e">
        <f t="shared" si="3"/>
        <v>#DIV/0!</v>
      </c>
      <c r="D207" s="1"/>
      <c r="E207" s="1"/>
      <c r="F207" s="1"/>
      <c r="G207" s="1"/>
      <c r="H207" s="1"/>
      <c r="I207" s="11"/>
    </row>
    <row r="208" spans="1:9">
      <c r="A208" s="1">
        <v>14</v>
      </c>
      <c r="B208" s="26">
        <v>2</v>
      </c>
      <c r="C208" s="1" t="e">
        <f t="shared" si="3"/>
        <v>#DIV/0!</v>
      </c>
      <c r="D208" s="1"/>
      <c r="E208" s="1"/>
      <c r="F208" s="1"/>
      <c r="G208" s="1"/>
      <c r="H208" s="1"/>
      <c r="I208" s="11"/>
    </row>
    <row r="209" spans="1:9">
      <c r="A209" s="1">
        <v>14</v>
      </c>
      <c r="B209" s="26">
        <v>2</v>
      </c>
      <c r="C209" s="1" t="e">
        <f t="shared" si="3"/>
        <v>#DIV/0!</v>
      </c>
      <c r="D209" s="1"/>
      <c r="E209" s="1"/>
      <c r="F209" s="1"/>
      <c r="G209" s="1"/>
      <c r="H209" s="1"/>
      <c r="I209" s="11"/>
    </row>
    <row r="210" spans="1:9">
      <c r="A210" s="1">
        <v>14</v>
      </c>
      <c r="B210" s="26">
        <v>3</v>
      </c>
      <c r="C210" s="1" t="e">
        <f t="shared" si="3"/>
        <v>#DIV/0!</v>
      </c>
      <c r="D210" s="1"/>
      <c r="E210" s="1"/>
      <c r="F210" s="1"/>
      <c r="G210" s="1"/>
      <c r="H210" s="1"/>
      <c r="I210" s="11"/>
    </row>
    <row r="211" spans="1:9">
      <c r="A211" s="1">
        <v>14</v>
      </c>
      <c r="B211" s="26">
        <v>3</v>
      </c>
      <c r="C211" s="1" t="e">
        <f t="shared" si="3"/>
        <v>#DIV/0!</v>
      </c>
      <c r="D211" s="1"/>
      <c r="E211" s="1"/>
      <c r="F211" s="1"/>
      <c r="G211" s="1"/>
      <c r="H211" s="1"/>
      <c r="I211" s="11"/>
    </row>
    <row r="212" spans="1:9">
      <c r="A212" s="1">
        <v>14</v>
      </c>
      <c r="B212" s="26">
        <v>3</v>
      </c>
      <c r="C212" s="1" t="e">
        <f t="shared" si="3"/>
        <v>#DIV/0!</v>
      </c>
      <c r="D212" s="1"/>
      <c r="E212" s="1"/>
      <c r="F212" s="1"/>
      <c r="G212" s="1"/>
      <c r="H212" s="1"/>
      <c r="I212" s="11"/>
    </row>
    <row r="213" spans="1:9">
      <c r="A213" s="1">
        <v>14</v>
      </c>
      <c r="B213" s="26">
        <v>3</v>
      </c>
      <c r="C213" s="1" t="e">
        <f t="shared" si="3"/>
        <v>#DIV/0!</v>
      </c>
      <c r="D213" s="1"/>
      <c r="E213" s="1"/>
      <c r="F213" s="1"/>
      <c r="G213" s="1"/>
      <c r="H213" s="1"/>
      <c r="I213" s="11"/>
    </row>
    <row r="214" spans="1:9">
      <c r="A214" s="1">
        <v>14</v>
      </c>
      <c r="B214" s="26">
        <v>3</v>
      </c>
      <c r="C214" s="178" t="e">
        <f t="shared" si="3"/>
        <v>#DIV/0!</v>
      </c>
      <c r="D214" s="1"/>
      <c r="E214" s="1"/>
      <c r="F214" s="1"/>
      <c r="G214" s="1"/>
      <c r="H214" s="1"/>
      <c r="I214" s="11"/>
    </row>
    <row r="215" spans="1:9">
      <c r="A215" s="12">
        <v>15</v>
      </c>
      <c r="B215" s="27">
        <v>1</v>
      </c>
      <c r="C215" s="1" t="e">
        <f t="shared" si="3"/>
        <v>#DIV/0!</v>
      </c>
      <c r="D215" s="12"/>
      <c r="E215" s="12"/>
      <c r="F215" s="12"/>
      <c r="G215" s="12"/>
      <c r="H215" s="12"/>
      <c r="I215" s="24"/>
    </row>
    <row r="216" spans="1:9">
      <c r="A216" s="1">
        <v>15</v>
      </c>
      <c r="B216" s="26">
        <v>1</v>
      </c>
      <c r="C216" s="1" t="e">
        <f t="shared" si="3"/>
        <v>#DIV/0!</v>
      </c>
      <c r="D216" s="1"/>
      <c r="E216" s="1"/>
      <c r="F216" s="1"/>
      <c r="G216" s="1"/>
      <c r="H216" s="1"/>
      <c r="I216" s="11"/>
    </row>
    <row r="217" spans="1:9">
      <c r="A217" s="1">
        <v>15</v>
      </c>
      <c r="B217" s="26">
        <v>1</v>
      </c>
      <c r="C217" s="1" t="e">
        <f t="shared" si="3"/>
        <v>#DIV/0!</v>
      </c>
      <c r="D217" s="1"/>
      <c r="E217" s="1"/>
      <c r="F217" s="1"/>
      <c r="G217" s="1"/>
      <c r="H217" s="1"/>
      <c r="I217" s="11"/>
    </row>
    <row r="218" spans="1:9">
      <c r="A218" s="1">
        <v>15</v>
      </c>
      <c r="B218" s="26">
        <v>1</v>
      </c>
      <c r="C218" s="1" t="e">
        <f t="shared" si="3"/>
        <v>#DIV/0!</v>
      </c>
      <c r="D218" s="1"/>
      <c r="E218" s="1"/>
      <c r="F218" s="1"/>
      <c r="G218" s="1"/>
      <c r="H218" s="1"/>
      <c r="I218" s="11"/>
    </row>
    <row r="219" spans="1:9">
      <c r="A219" s="1">
        <v>15</v>
      </c>
      <c r="B219" s="26">
        <v>1</v>
      </c>
      <c r="C219" s="1" t="e">
        <f t="shared" si="3"/>
        <v>#DIV/0!</v>
      </c>
      <c r="D219" s="1"/>
      <c r="E219" s="1"/>
      <c r="F219" s="1"/>
      <c r="G219" s="1"/>
      <c r="H219" s="1"/>
      <c r="I219" s="11"/>
    </row>
    <row r="220" spans="1:9">
      <c r="A220" s="1">
        <v>15</v>
      </c>
      <c r="B220" s="26">
        <v>2</v>
      </c>
      <c r="C220" s="1" t="e">
        <f t="shared" si="3"/>
        <v>#DIV/0!</v>
      </c>
      <c r="D220" s="1"/>
      <c r="E220" s="1"/>
      <c r="F220" s="1"/>
      <c r="G220" s="1"/>
      <c r="H220" s="1"/>
      <c r="I220" s="11"/>
    </row>
    <row r="221" spans="1:9">
      <c r="A221" s="1">
        <v>15</v>
      </c>
      <c r="B221" s="26">
        <v>2</v>
      </c>
      <c r="C221" s="1" t="e">
        <f t="shared" si="3"/>
        <v>#DIV/0!</v>
      </c>
      <c r="D221" s="1"/>
      <c r="E221" s="1"/>
      <c r="F221" s="1"/>
      <c r="G221" s="1"/>
      <c r="H221" s="1"/>
      <c r="I221" s="11"/>
    </row>
    <row r="222" spans="1:9">
      <c r="A222" s="1">
        <v>15</v>
      </c>
      <c r="B222" s="26">
        <v>2</v>
      </c>
      <c r="C222" s="1" t="e">
        <f t="shared" si="3"/>
        <v>#DIV/0!</v>
      </c>
      <c r="D222" s="1"/>
      <c r="E222" s="1"/>
      <c r="F222" s="1"/>
      <c r="G222" s="1"/>
      <c r="H222" s="1"/>
      <c r="I222" s="11"/>
    </row>
    <row r="223" spans="1:9">
      <c r="A223" s="1">
        <v>15</v>
      </c>
      <c r="B223" s="26">
        <v>2</v>
      </c>
      <c r="C223" s="1" t="e">
        <f t="shared" si="3"/>
        <v>#DIV/0!</v>
      </c>
      <c r="D223" s="1"/>
      <c r="E223" s="1"/>
      <c r="F223" s="1"/>
      <c r="G223" s="1"/>
      <c r="H223" s="1"/>
      <c r="I223" s="11"/>
    </row>
    <row r="224" spans="1:9">
      <c r="A224" s="1">
        <v>15</v>
      </c>
      <c r="B224" s="26">
        <v>2</v>
      </c>
      <c r="C224" s="1" t="e">
        <f t="shared" si="3"/>
        <v>#DIV/0!</v>
      </c>
      <c r="D224" s="1"/>
      <c r="E224" s="1"/>
      <c r="F224" s="1"/>
      <c r="G224" s="1"/>
      <c r="H224" s="1"/>
      <c r="I224" s="11"/>
    </row>
    <row r="225" spans="1:9">
      <c r="A225" s="1">
        <v>15</v>
      </c>
      <c r="B225" s="26">
        <v>3</v>
      </c>
      <c r="C225" s="1" t="e">
        <f t="shared" si="3"/>
        <v>#DIV/0!</v>
      </c>
      <c r="D225" s="1"/>
      <c r="E225" s="1"/>
      <c r="F225" s="1"/>
      <c r="G225" s="1"/>
      <c r="H225" s="1"/>
      <c r="I225" s="11"/>
    </row>
    <row r="226" spans="1:9">
      <c r="A226" s="1">
        <v>15</v>
      </c>
      <c r="B226" s="26">
        <v>3</v>
      </c>
      <c r="C226" s="1" t="e">
        <f t="shared" si="3"/>
        <v>#DIV/0!</v>
      </c>
      <c r="D226" s="1"/>
      <c r="E226" s="1"/>
      <c r="F226" s="1"/>
      <c r="G226" s="1"/>
      <c r="H226" s="1"/>
      <c r="I226" s="11"/>
    </row>
    <row r="227" spans="1:9">
      <c r="A227" s="1">
        <v>15</v>
      </c>
      <c r="B227" s="26">
        <v>3</v>
      </c>
      <c r="C227" s="1" t="e">
        <f t="shared" si="3"/>
        <v>#DIV/0!</v>
      </c>
      <c r="D227" s="1"/>
      <c r="E227" s="1"/>
      <c r="F227" s="1"/>
      <c r="G227" s="1"/>
      <c r="H227" s="1"/>
      <c r="I227" s="11"/>
    </row>
    <row r="228" spans="1:9">
      <c r="A228" s="1">
        <v>15</v>
      </c>
      <c r="B228" s="26">
        <v>3</v>
      </c>
      <c r="C228" s="1" t="e">
        <f t="shared" si="3"/>
        <v>#DIV/0!</v>
      </c>
      <c r="D228" s="1"/>
      <c r="E228" s="1"/>
      <c r="F228" s="1"/>
      <c r="G228" s="1"/>
      <c r="H228" s="1"/>
      <c r="I228" s="11"/>
    </row>
    <row r="229" spans="1:9">
      <c r="A229" s="178">
        <v>15</v>
      </c>
      <c r="B229" s="171">
        <v>3</v>
      </c>
      <c r="C229" s="178" t="e">
        <f t="shared" si="3"/>
        <v>#DIV/0!</v>
      </c>
      <c r="D229" s="178"/>
      <c r="E229" s="178"/>
      <c r="F229" s="178"/>
      <c r="G229" s="178"/>
      <c r="H229" s="178"/>
      <c r="I229" s="179"/>
    </row>
    <row r="230" spans="1:9">
      <c r="A230" s="1"/>
      <c r="B230" s="26">
        <v>1</v>
      </c>
      <c r="C230" s="1"/>
      <c r="D230" s="1"/>
      <c r="E230" s="1"/>
      <c r="F230" s="1"/>
      <c r="G230" s="1"/>
      <c r="H230" s="1"/>
      <c r="I230" s="11"/>
    </row>
    <row r="231" spans="1:9">
      <c r="A231" s="1"/>
      <c r="B231" s="26">
        <v>1</v>
      </c>
      <c r="C231" s="1"/>
      <c r="D231" s="1"/>
      <c r="E231" s="1"/>
      <c r="F231" s="1"/>
      <c r="G231" s="1"/>
      <c r="H231" s="1"/>
      <c r="I231" s="11"/>
    </row>
    <row r="232" spans="1:9">
      <c r="A232" s="1"/>
      <c r="B232" s="26">
        <v>1</v>
      </c>
      <c r="C232" s="1"/>
      <c r="D232" s="1"/>
      <c r="E232" s="1"/>
      <c r="F232" s="1"/>
      <c r="G232" s="1"/>
      <c r="H232" s="1"/>
      <c r="I232" s="11"/>
    </row>
    <row r="233" spans="1:9">
      <c r="A233" s="1"/>
      <c r="B233" s="26">
        <v>1</v>
      </c>
      <c r="C233" s="1"/>
      <c r="D233" s="1"/>
      <c r="E233" s="1"/>
      <c r="F233" s="1"/>
      <c r="G233" s="1"/>
      <c r="H233" s="1"/>
      <c r="I233" s="11"/>
    </row>
    <row r="234" spans="1:9">
      <c r="A234" s="1"/>
      <c r="B234" s="26">
        <v>1</v>
      </c>
      <c r="C234" s="1"/>
      <c r="D234" s="1"/>
      <c r="E234" s="1"/>
      <c r="F234" s="1"/>
      <c r="G234" s="1"/>
      <c r="H234" s="1"/>
      <c r="I234" s="11"/>
    </row>
    <row r="235" spans="1:9">
      <c r="A235" s="1"/>
      <c r="B235" s="26">
        <v>2</v>
      </c>
      <c r="C235" s="1"/>
      <c r="D235" s="1"/>
      <c r="E235" s="1"/>
      <c r="F235" s="1"/>
      <c r="G235" s="1"/>
      <c r="H235" s="1"/>
      <c r="I235" s="11"/>
    </row>
    <row r="236" spans="1:9">
      <c r="A236" s="1"/>
      <c r="B236" s="26">
        <v>2</v>
      </c>
      <c r="C236" s="1"/>
      <c r="D236" s="1"/>
      <c r="E236" s="1"/>
      <c r="F236" s="1"/>
      <c r="G236" s="1"/>
      <c r="H236" s="1"/>
      <c r="I236" s="11"/>
    </row>
    <row r="237" spans="1:9">
      <c r="A237" s="1"/>
      <c r="B237" s="26">
        <v>2</v>
      </c>
      <c r="C237" s="1"/>
      <c r="D237" s="1"/>
      <c r="E237" s="1"/>
      <c r="F237" s="1"/>
      <c r="G237" s="1"/>
      <c r="H237" s="1"/>
      <c r="I237" s="11"/>
    </row>
    <row r="238" spans="1:9">
      <c r="A238" s="1"/>
      <c r="B238" s="26">
        <v>2</v>
      </c>
      <c r="C238" s="1"/>
      <c r="D238" s="1"/>
      <c r="E238" s="1"/>
      <c r="F238" s="1"/>
      <c r="G238" s="1"/>
      <c r="H238" s="1"/>
      <c r="I238" s="11"/>
    </row>
    <row r="239" spans="1:9">
      <c r="A239" s="1"/>
      <c r="B239" s="26">
        <v>2</v>
      </c>
      <c r="C239" s="1"/>
      <c r="D239" s="1"/>
      <c r="E239" s="1"/>
      <c r="F239" s="1"/>
      <c r="G239" s="1"/>
      <c r="H239" s="1"/>
      <c r="I239" s="11"/>
    </row>
    <row r="240" spans="1:9">
      <c r="A240" s="1"/>
      <c r="B240" s="26">
        <v>3</v>
      </c>
      <c r="C240" s="1"/>
      <c r="D240" s="1"/>
      <c r="E240" s="1"/>
      <c r="F240" s="1"/>
      <c r="G240" s="1"/>
      <c r="H240" s="1"/>
      <c r="I240" s="11"/>
    </row>
    <row r="241" spans="1:9">
      <c r="A241" s="1"/>
      <c r="B241" s="26">
        <v>3</v>
      </c>
      <c r="C241" s="1"/>
      <c r="D241" s="1"/>
      <c r="E241" s="1"/>
      <c r="F241" s="1"/>
      <c r="G241" s="1"/>
      <c r="H241" s="1"/>
      <c r="I241" s="11"/>
    </row>
    <row r="242" spans="1:9">
      <c r="A242" s="1"/>
      <c r="B242" s="26">
        <v>3</v>
      </c>
      <c r="C242" s="1"/>
      <c r="D242" s="1"/>
      <c r="E242" s="1"/>
      <c r="F242" s="1"/>
      <c r="G242" s="1"/>
      <c r="H242" s="1"/>
      <c r="I242" s="11"/>
    </row>
    <row r="243" spans="1:9">
      <c r="A243" s="1"/>
      <c r="B243" s="26">
        <v>3</v>
      </c>
      <c r="C243" s="1"/>
      <c r="D243" s="1"/>
      <c r="E243" s="1"/>
      <c r="F243" s="1"/>
      <c r="G243" s="1"/>
      <c r="H243" s="1"/>
      <c r="I243" s="11"/>
    </row>
    <row r="244" spans="1:9">
      <c r="A244" s="1"/>
      <c r="B244" s="26">
        <v>3</v>
      </c>
      <c r="C244" s="1"/>
      <c r="D244" s="1"/>
      <c r="E244" s="1"/>
      <c r="F244" s="1"/>
      <c r="G244" s="1"/>
      <c r="H244" s="1"/>
      <c r="I244" s="11"/>
    </row>
    <row r="245" spans="1:9">
      <c r="A245" s="1"/>
      <c r="B245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B0032-3979-0C47-BE9D-9F44DED11597}">
  <dimension ref="A1:AK99"/>
  <sheetViews>
    <sheetView workbookViewId="0">
      <pane ySplit="1" topLeftCell="A2" activePane="bottomLeft" state="frozen"/>
      <selection pane="bottomLeft" activeCell="R9" sqref="R9"/>
    </sheetView>
  </sheetViews>
  <sheetFormatPr baseColWidth="10" defaultRowHeight="16"/>
  <cols>
    <col min="1" max="1" width="9" style="1" customWidth="1"/>
    <col min="2" max="2" width="4.1640625" style="1" customWidth="1"/>
    <col min="3" max="4" width="4" style="1" customWidth="1"/>
    <col min="5" max="5" width="5.83203125" style="10" customWidth="1"/>
    <col min="6" max="7" width="14.83203125" style="25" customWidth="1"/>
    <col min="8" max="8" width="15.1640625" style="1" customWidth="1"/>
    <col min="9" max="9" width="16.5" style="1" customWidth="1"/>
    <col min="10" max="10" width="15" style="1" customWidth="1"/>
    <col min="11" max="11" width="14.6640625" style="1" customWidth="1"/>
    <col min="12" max="12" width="13.83203125" style="1" customWidth="1"/>
    <col min="13" max="13" width="13.1640625" style="1" customWidth="1"/>
    <col min="14" max="14" width="13.33203125" style="1" customWidth="1"/>
    <col min="15" max="15" width="13" style="1" customWidth="1"/>
    <col min="16" max="16" width="14.33203125" style="1" customWidth="1"/>
    <col min="17" max="17" width="13" style="1" customWidth="1"/>
    <col min="18" max="18" width="13.33203125" style="1" customWidth="1"/>
    <col min="19" max="20" width="13.1640625" style="1" customWidth="1"/>
    <col min="21" max="21" width="13.33203125" style="1" customWidth="1"/>
    <col min="22" max="22" width="13" style="1" customWidth="1"/>
    <col min="23" max="23" width="13.1640625" style="1" customWidth="1"/>
    <col min="24" max="25" width="12.83203125" style="1" customWidth="1"/>
    <col min="26" max="26" width="14.33203125" style="1" customWidth="1"/>
    <col min="27" max="27" width="18.5" style="1" customWidth="1"/>
    <col min="28" max="28" width="13.1640625" style="1" customWidth="1"/>
    <col min="29" max="29" width="13" style="1" customWidth="1"/>
    <col min="30" max="30" width="13.33203125" style="1" customWidth="1"/>
    <col min="31" max="31" width="13.1640625" style="1" customWidth="1"/>
    <col min="32" max="32" width="13" style="1" customWidth="1"/>
    <col min="33" max="33" width="13.1640625" style="1" customWidth="1"/>
    <col min="34" max="34" width="13" style="1" customWidth="1"/>
    <col min="35" max="35" width="13.1640625" style="1" customWidth="1"/>
    <col min="36" max="36" width="13.33203125" style="1" customWidth="1"/>
    <col min="37" max="37" width="14.33203125" style="1" customWidth="1"/>
    <col min="38" max="16384" width="10.83203125" style="1"/>
  </cols>
  <sheetData>
    <row r="1" spans="1:37" s="13" customFormat="1">
      <c r="A1" s="21" t="s">
        <v>23</v>
      </c>
      <c r="B1" s="13" t="s">
        <v>46</v>
      </c>
      <c r="C1" s="13" t="s">
        <v>47</v>
      </c>
      <c r="D1" s="13" t="s">
        <v>112</v>
      </c>
      <c r="E1" s="7" t="s">
        <v>49</v>
      </c>
      <c r="F1" s="9" t="s">
        <v>52</v>
      </c>
      <c r="G1" s="9" t="s">
        <v>24</v>
      </c>
      <c r="H1" s="13" t="s">
        <v>25</v>
      </c>
      <c r="I1" s="13" t="s">
        <v>26</v>
      </c>
      <c r="J1" s="13" t="s">
        <v>27</v>
      </c>
      <c r="K1" s="13" t="s">
        <v>28</v>
      </c>
      <c r="L1" s="13" t="s">
        <v>29</v>
      </c>
      <c r="M1" s="13" t="s">
        <v>45</v>
      </c>
      <c r="Z1" s="8"/>
      <c r="AK1" s="8"/>
    </row>
    <row r="2" spans="1:37" s="22" customFormat="1">
      <c r="A2" s="21"/>
      <c r="E2" s="4" t="s">
        <v>22</v>
      </c>
      <c r="F2" s="32"/>
      <c r="G2" s="32">
        <v>1</v>
      </c>
      <c r="H2" s="22">
        <v>2</v>
      </c>
      <c r="I2" s="22">
        <v>3</v>
      </c>
      <c r="J2" s="22">
        <v>4</v>
      </c>
      <c r="K2" s="22">
        <v>5</v>
      </c>
      <c r="L2" s="22">
        <v>6</v>
      </c>
      <c r="M2" s="32">
        <v>7</v>
      </c>
      <c r="S2" s="32"/>
      <c r="U2" s="32"/>
    </row>
    <row r="3" spans="1:37" s="22" customFormat="1">
      <c r="A3" s="21"/>
      <c r="E3" s="4" t="s">
        <v>50</v>
      </c>
      <c r="F3" s="32"/>
      <c r="G3" s="32"/>
    </row>
    <row r="4" spans="1:37">
      <c r="A4" s="11">
        <v>1</v>
      </c>
      <c r="B4" s="1">
        <v>1</v>
      </c>
      <c r="C4" s="1">
        <v>1</v>
      </c>
      <c r="D4" s="1" t="s">
        <v>30</v>
      </c>
      <c r="E4" s="10" t="s">
        <v>51</v>
      </c>
      <c r="Z4" s="11"/>
      <c r="AK4" s="11"/>
    </row>
    <row r="5" spans="1:37">
      <c r="A5" s="11">
        <v>2</v>
      </c>
      <c r="B5" s="1">
        <v>2</v>
      </c>
      <c r="C5" s="1">
        <v>1</v>
      </c>
      <c r="D5" s="1" t="s">
        <v>30</v>
      </c>
      <c r="E5" s="10" t="s">
        <v>51</v>
      </c>
      <c r="Z5" s="11"/>
      <c r="AK5" s="11"/>
    </row>
    <row r="6" spans="1:37">
      <c r="A6" s="11">
        <v>3</v>
      </c>
      <c r="B6" s="1">
        <v>3</v>
      </c>
      <c r="C6" s="1">
        <v>1</v>
      </c>
      <c r="D6" s="1" t="s">
        <v>30</v>
      </c>
      <c r="E6" s="10" t="s">
        <v>51</v>
      </c>
      <c r="Z6" s="11"/>
      <c r="AK6" s="11"/>
    </row>
    <row r="7" spans="1:37">
      <c r="A7" s="11">
        <v>4</v>
      </c>
      <c r="B7" s="1">
        <v>4</v>
      </c>
      <c r="C7" s="1">
        <v>1</v>
      </c>
      <c r="D7" s="1" t="s">
        <v>30</v>
      </c>
      <c r="E7" s="10" t="s">
        <v>51</v>
      </c>
      <c r="Z7" s="11"/>
      <c r="AK7" s="11"/>
    </row>
    <row r="8" spans="1:37">
      <c r="A8" s="11">
        <v>5</v>
      </c>
      <c r="B8" s="1">
        <v>5</v>
      </c>
      <c r="C8" s="1">
        <v>1</v>
      </c>
      <c r="D8" s="1" t="s">
        <v>30</v>
      </c>
      <c r="E8" s="10" t="s">
        <v>51</v>
      </c>
      <c r="Z8" s="11"/>
      <c r="AK8" s="11"/>
    </row>
    <row r="9" spans="1:37">
      <c r="A9" s="11">
        <v>6</v>
      </c>
      <c r="B9" s="1">
        <v>6</v>
      </c>
      <c r="C9" s="1">
        <v>1</v>
      </c>
      <c r="D9" s="1" t="s">
        <v>30</v>
      </c>
      <c r="E9" s="10" t="s">
        <v>51</v>
      </c>
      <c r="Z9" s="11"/>
      <c r="AK9" s="11"/>
    </row>
    <row r="10" spans="1:37">
      <c r="A10" s="11">
        <v>7</v>
      </c>
      <c r="B10" s="1">
        <v>7</v>
      </c>
      <c r="C10" s="1">
        <v>1</v>
      </c>
      <c r="D10" s="1" t="s">
        <v>30</v>
      </c>
      <c r="E10" s="10" t="s">
        <v>51</v>
      </c>
      <c r="Z10" s="11"/>
      <c r="AK10" s="11"/>
    </row>
    <row r="11" spans="1:37">
      <c r="A11" s="11">
        <v>8</v>
      </c>
      <c r="B11" s="1">
        <v>8</v>
      </c>
      <c r="C11" s="1">
        <v>1</v>
      </c>
      <c r="D11" s="1" t="s">
        <v>30</v>
      </c>
      <c r="E11" s="10" t="s">
        <v>51</v>
      </c>
      <c r="Z11" s="11"/>
      <c r="AK11" s="11"/>
    </row>
    <row r="12" spans="1:37">
      <c r="A12" s="11">
        <v>9</v>
      </c>
      <c r="B12" s="1">
        <v>9</v>
      </c>
      <c r="C12" s="1">
        <v>1</v>
      </c>
      <c r="D12" s="1" t="s">
        <v>30</v>
      </c>
      <c r="E12" s="10" t="s">
        <v>51</v>
      </c>
      <c r="Z12" s="11"/>
      <c r="AK12" s="11"/>
    </row>
    <row r="13" spans="1:37">
      <c r="A13" s="11">
        <v>10</v>
      </c>
      <c r="B13" s="1">
        <v>10</v>
      </c>
      <c r="C13" s="1">
        <v>1</v>
      </c>
      <c r="D13" s="1" t="s">
        <v>30</v>
      </c>
      <c r="E13" s="10" t="s">
        <v>51</v>
      </c>
      <c r="Z13" s="11"/>
      <c r="AK13" s="11"/>
    </row>
    <row r="14" spans="1:37">
      <c r="A14" s="11">
        <v>11</v>
      </c>
      <c r="B14" s="1">
        <v>11</v>
      </c>
      <c r="C14" s="1">
        <v>1</v>
      </c>
      <c r="D14" s="1" t="s">
        <v>30</v>
      </c>
      <c r="E14" s="10" t="s">
        <v>51</v>
      </c>
      <c r="Z14" s="11"/>
      <c r="AK14" s="11"/>
    </row>
    <row r="15" spans="1:37">
      <c r="A15" s="11">
        <v>12</v>
      </c>
      <c r="B15" s="1">
        <v>12</v>
      </c>
      <c r="C15" s="1">
        <v>1</v>
      </c>
      <c r="D15" s="1" t="s">
        <v>30</v>
      </c>
      <c r="E15" s="10" t="s">
        <v>51</v>
      </c>
      <c r="Z15" s="11"/>
      <c r="AK15" s="11"/>
    </row>
    <row r="16" spans="1:37">
      <c r="A16" s="11">
        <v>13</v>
      </c>
      <c r="B16" s="1">
        <v>1</v>
      </c>
      <c r="C16" s="1">
        <v>2</v>
      </c>
      <c r="D16" s="1" t="s">
        <v>31</v>
      </c>
      <c r="E16" s="10" t="s">
        <v>51</v>
      </c>
      <c r="Z16" s="11"/>
      <c r="AK16" s="11"/>
    </row>
    <row r="17" spans="1:37">
      <c r="A17" s="11">
        <v>14</v>
      </c>
      <c r="B17" s="1">
        <v>2</v>
      </c>
      <c r="C17" s="1">
        <v>2</v>
      </c>
      <c r="D17" s="1" t="s">
        <v>31</v>
      </c>
      <c r="E17" s="10" t="s">
        <v>51</v>
      </c>
      <c r="Z17" s="11"/>
      <c r="AK17" s="11"/>
    </row>
    <row r="18" spans="1:37">
      <c r="A18" s="11">
        <v>15</v>
      </c>
      <c r="B18" s="1">
        <v>3</v>
      </c>
      <c r="C18" s="1">
        <v>2</v>
      </c>
      <c r="D18" s="1" t="s">
        <v>31</v>
      </c>
      <c r="E18" s="10" t="s">
        <v>51</v>
      </c>
      <c r="Z18" s="11"/>
      <c r="AK18" s="11"/>
    </row>
    <row r="19" spans="1:37">
      <c r="A19" s="11">
        <v>16</v>
      </c>
      <c r="B19" s="1">
        <v>4</v>
      </c>
      <c r="C19" s="1">
        <v>2</v>
      </c>
      <c r="D19" s="1" t="s">
        <v>31</v>
      </c>
      <c r="E19" s="10" t="s">
        <v>51</v>
      </c>
      <c r="Z19" s="11"/>
      <c r="AK19" s="11"/>
    </row>
    <row r="20" spans="1:37">
      <c r="A20" s="11">
        <v>17</v>
      </c>
      <c r="B20" s="1">
        <v>5</v>
      </c>
      <c r="C20" s="1">
        <v>2</v>
      </c>
      <c r="D20" s="1" t="s">
        <v>31</v>
      </c>
      <c r="E20" s="10" t="s">
        <v>51</v>
      </c>
      <c r="Z20" s="11"/>
      <c r="AK20" s="11"/>
    </row>
    <row r="21" spans="1:37">
      <c r="A21" s="11">
        <v>18</v>
      </c>
      <c r="B21" s="1">
        <v>6</v>
      </c>
      <c r="C21" s="1">
        <v>2</v>
      </c>
      <c r="D21" s="1" t="s">
        <v>31</v>
      </c>
      <c r="E21" s="10" t="s">
        <v>51</v>
      </c>
      <c r="Z21" s="11"/>
      <c r="AK21" s="11"/>
    </row>
    <row r="22" spans="1:37">
      <c r="A22" s="11">
        <v>19</v>
      </c>
      <c r="B22" s="1">
        <v>7</v>
      </c>
      <c r="C22" s="1">
        <v>2</v>
      </c>
      <c r="D22" s="1" t="s">
        <v>31</v>
      </c>
      <c r="E22" s="10" t="s">
        <v>51</v>
      </c>
      <c r="Z22" s="11"/>
      <c r="AK22" s="11"/>
    </row>
    <row r="23" spans="1:37">
      <c r="A23" s="11">
        <v>20</v>
      </c>
      <c r="B23" s="1">
        <v>8</v>
      </c>
      <c r="C23" s="1">
        <v>2</v>
      </c>
      <c r="D23" s="1" t="s">
        <v>31</v>
      </c>
      <c r="E23" s="10" t="s">
        <v>51</v>
      </c>
      <c r="Z23" s="11"/>
      <c r="AK23" s="11"/>
    </row>
    <row r="24" spans="1:37">
      <c r="A24" s="11">
        <v>21</v>
      </c>
      <c r="B24" s="1">
        <v>9</v>
      </c>
      <c r="C24" s="1">
        <v>2</v>
      </c>
      <c r="D24" s="1" t="s">
        <v>31</v>
      </c>
      <c r="E24" s="10" t="s">
        <v>51</v>
      </c>
      <c r="Z24" s="11"/>
      <c r="AK24" s="11"/>
    </row>
    <row r="25" spans="1:37">
      <c r="A25" s="11">
        <v>22</v>
      </c>
      <c r="B25" s="1">
        <v>10</v>
      </c>
      <c r="C25" s="1">
        <v>2</v>
      </c>
      <c r="D25" s="1" t="s">
        <v>31</v>
      </c>
      <c r="E25" s="10" t="s">
        <v>51</v>
      </c>
      <c r="Z25" s="11"/>
      <c r="AK25" s="11"/>
    </row>
    <row r="26" spans="1:37">
      <c r="A26" s="11">
        <v>23</v>
      </c>
      <c r="B26" s="1">
        <v>11</v>
      </c>
      <c r="C26" s="1">
        <v>2</v>
      </c>
      <c r="D26" s="1" t="s">
        <v>31</v>
      </c>
      <c r="E26" s="10" t="s">
        <v>51</v>
      </c>
      <c r="Z26" s="11"/>
      <c r="AK26" s="11"/>
    </row>
    <row r="27" spans="1:37">
      <c r="A27" s="11">
        <v>24</v>
      </c>
      <c r="B27" s="1">
        <v>12</v>
      </c>
      <c r="C27" s="1">
        <v>2</v>
      </c>
      <c r="D27" s="1" t="s">
        <v>31</v>
      </c>
      <c r="E27" s="10" t="s">
        <v>51</v>
      </c>
      <c r="Z27" s="11"/>
      <c r="AK27" s="11"/>
    </row>
    <row r="28" spans="1:37">
      <c r="A28" s="11">
        <v>25</v>
      </c>
      <c r="B28" s="1">
        <v>1</v>
      </c>
      <c r="C28" s="1">
        <v>3</v>
      </c>
      <c r="D28" s="1" t="s">
        <v>32</v>
      </c>
      <c r="E28" s="10" t="s">
        <v>51</v>
      </c>
      <c r="Z28" s="11"/>
      <c r="AK28" s="11"/>
    </row>
    <row r="29" spans="1:37">
      <c r="A29" s="11">
        <v>26</v>
      </c>
      <c r="B29" s="1">
        <v>2</v>
      </c>
      <c r="C29" s="1">
        <v>3</v>
      </c>
      <c r="D29" s="1" t="s">
        <v>32</v>
      </c>
      <c r="E29" s="10" t="s">
        <v>51</v>
      </c>
      <c r="Z29" s="11"/>
      <c r="AK29" s="11"/>
    </row>
    <row r="30" spans="1:37">
      <c r="A30" s="11">
        <v>27</v>
      </c>
      <c r="B30" s="1">
        <v>3</v>
      </c>
      <c r="C30" s="1">
        <v>3</v>
      </c>
      <c r="D30" s="1" t="s">
        <v>32</v>
      </c>
      <c r="E30" s="10" t="s">
        <v>51</v>
      </c>
      <c r="Z30" s="11"/>
      <c r="AK30" s="11"/>
    </row>
    <row r="31" spans="1:37">
      <c r="A31" s="11">
        <v>28</v>
      </c>
      <c r="B31" s="1">
        <v>4</v>
      </c>
      <c r="C31" s="1">
        <v>3</v>
      </c>
      <c r="D31" s="1" t="s">
        <v>32</v>
      </c>
      <c r="E31" s="10" t="s">
        <v>51</v>
      </c>
      <c r="Z31" s="11"/>
      <c r="AK31" s="11"/>
    </row>
    <row r="32" spans="1:37">
      <c r="A32" s="11">
        <v>29</v>
      </c>
      <c r="B32" s="1">
        <v>5</v>
      </c>
      <c r="C32" s="1">
        <v>3</v>
      </c>
      <c r="D32" s="1" t="s">
        <v>32</v>
      </c>
      <c r="E32" s="10" t="s">
        <v>51</v>
      </c>
      <c r="Z32" s="11"/>
      <c r="AK32" s="11"/>
    </row>
    <row r="33" spans="1:37">
      <c r="A33" s="11">
        <v>30</v>
      </c>
      <c r="B33" s="1">
        <v>6</v>
      </c>
      <c r="C33" s="1">
        <v>3</v>
      </c>
      <c r="D33" s="1" t="s">
        <v>32</v>
      </c>
      <c r="E33" s="10" t="s">
        <v>51</v>
      </c>
      <c r="Z33" s="11"/>
      <c r="AK33" s="11"/>
    </row>
    <row r="34" spans="1:37">
      <c r="A34" s="11">
        <v>31</v>
      </c>
      <c r="B34" s="1">
        <v>7</v>
      </c>
      <c r="C34" s="1">
        <v>3</v>
      </c>
      <c r="D34" s="1" t="s">
        <v>32</v>
      </c>
      <c r="E34" s="10" t="s">
        <v>51</v>
      </c>
      <c r="Z34" s="11"/>
      <c r="AK34" s="11"/>
    </row>
    <row r="35" spans="1:37">
      <c r="A35" s="11">
        <v>32</v>
      </c>
      <c r="B35" s="1">
        <v>8</v>
      </c>
      <c r="C35" s="1">
        <v>3</v>
      </c>
      <c r="D35" s="1" t="s">
        <v>32</v>
      </c>
      <c r="E35" s="10" t="s">
        <v>51</v>
      </c>
      <c r="Z35" s="11"/>
      <c r="AK35" s="11"/>
    </row>
    <row r="36" spans="1:37">
      <c r="A36" s="11">
        <v>33</v>
      </c>
      <c r="B36" s="1">
        <v>9</v>
      </c>
      <c r="C36" s="1">
        <v>3</v>
      </c>
      <c r="D36" s="1" t="s">
        <v>32</v>
      </c>
      <c r="E36" s="10" t="s">
        <v>51</v>
      </c>
      <c r="Z36" s="11"/>
      <c r="AK36" s="11"/>
    </row>
    <row r="37" spans="1:37">
      <c r="A37" s="11">
        <v>34</v>
      </c>
      <c r="B37" s="1">
        <v>10</v>
      </c>
      <c r="C37" s="1">
        <v>3</v>
      </c>
      <c r="D37" s="1" t="s">
        <v>32</v>
      </c>
      <c r="E37" s="10" t="s">
        <v>51</v>
      </c>
      <c r="Z37" s="11"/>
      <c r="AK37" s="11"/>
    </row>
    <row r="38" spans="1:37">
      <c r="A38" s="11">
        <v>35</v>
      </c>
      <c r="B38" s="1">
        <v>11</v>
      </c>
      <c r="C38" s="1">
        <v>3</v>
      </c>
      <c r="D38" s="1" t="s">
        <v>32</v>
      </c>
      <c r="E38" s="10" t="s">
        <v>51</v>
      </c>
      <c r="Z38" s="11"/>
      <c r="AK38" s="11"/>
    </row>
    <row r="39" spans="1:37">
      <c r="A39" s="11">
        <v>36</v>
      </c>
      <c r="B39" s="1">
        <v>12</v>
      </c>
      <c r="C39" s="1">
        <v>3</v>
      </c>
      <c r="D39" s="1" t="s">
        <v>32</v>
      </c>
      <c r="E39" s="10" t="s">
        <v>51</v>
      </c>
      <c r="Z39" s="11"/>
      <c r="AK39" s="11"/>
    </row>
    <row r="40" spans="1:37">
      <c r="A40" s="11">
        <v>37</v>
      </c>
      <c r="B40" s="1">
        <v>1</v>
      </c>
      <c r="C40" s="1">
        <v>4</v>
      </c>
      <c r="D40" s="1" t="s">
        <v>33</v>
      </c>
      <c r="E40" s="10" t="s">
        <v>51</v>
      </c>
      <c r="Z40" s="11"/>
      <c r="AK40" s="11"/>
    </row>
    <row r="41" spans="1:37">
      <c r="A41" s="11">
        <v>38</v>
      </c>
      <c r="B41" s="1">
        <v>2</v>
      </c>
      <c r="C41" s="1">
        <v>4</v>
      </c>
      <c r="D41" s="1" t="s">
        <v>33</v>
      </c>
      <c r="E41" s="10" t="s">
        <v>51</v>
      </c>
      <c r="Z41" s="11"/>
      <c r="AK41" s="11"/>
    </row>
    <row r="42" spans="1:37">
      <c r="A42" s="11">
        <v>39</v>
      </c>
      <c r="B42" s="1">
        <v>3</v>
      </c>
      <c r="C42" s="1">
        <v>4</v>
      </c>
      <c r="D42" s="1" t="s">
        <v>33</v>
      </c>
      <c r="E42" s="10" t="s">
        <v>51</v>
      </c>
      <c r="Z42" s="11"/>
      <c r="AK42" s="11"/>
    </row>
    <row r="43" spans="1:37">
      <c r="A43" s="11">
        <v>40</v>
      </c>
      <c r="B43" s="1">
        <v>4</v>
      </c>
      <c r="C43" s="1">
        <v>4</v>
      </c>
      <c r="D43" s="1" t="s">
        <v>33</v>
      </c>
      <c r="E43" s="10" t="s">
        <v>51</v>
      </c>
      <c r="Z43" s="11"/>
      <c r="AK43" s="11"/>
    </row>
    <row r="44" spans="1:37">
      <c r="A44" s="11">
        <v>41</v>
      </c>
      <c r="B44" s="1">
        <v>5</v>
      </c>
      <c r="C44" s="1">
        <v>4</v>
      </c>
      <c r="D44" s="1" t="s">
        <v>33</v>
      </c>
      <c r="E44" s="10" t="s">
        <v>51</v>
      </c>
      <c r="Z44" s="11"/>
      <c r="AK44" s="11"/>
    </row>
    <row r="45" spans="1:37">
      <c r="A45" s="11">
        <v>42</v>
      </c>
      <c r="B45" s="1">
        <v>6</v>
      </c>
      <c r="C45" s="1">
        <v>4</v>
      </c>
      <c r="D45" s="1" t="s">
        <v>33</v>
      </c>
      <c r="E45" s="10" t="s">
        <v>51</v>
      </c>
      <c r="Z45" s="11"/>
      <c r="AK45" s="11"/>
    </row>
    <row r="46" spans="1:37">
      <c r="A46" s="11">
        <v>43</v>
      </c>
      <c r="B46" s="1">
        <v>7</v>
      </c>
      <c r="C46" s="1">
        <v>4</v>
      </c>
      <c r="D46" s="1" t="s">
        <v>33</v>
      </c>
      <c r="E46" s="10" t="s">
        <v>51</v>
      </c>
      <c r="Z46" s="11"/>
      <c r="AK46" s="11"/>
    </row>
    <row r="47" spans="1:37">
      <c r="A47" s="11">
        <v>44</v>
      </c>
      <c r="B47" s="1">
        <v>8</v>
      </c>
      <c r="C47" s="1">
        <v>4</v>
      </c>
      <c r="D47" s="1" t="s">
        <v>33</v>
      </c>
      <c r="E47" s="10" t="s">
        <v>51</v>
      </c>
      <c r="Z47" s="11"/>
      <c r="AK47" s="11"/>
    </row>
    <row r="48" spans="1:37">
      <c r="A48" s="11">
        <v>45</v>
      </c>
      <c r="B48" s="1">
        <v>9</v>
      </c>
      <c r="C48" s="1">
        <v>4</v>
      </c>
      <c r="D48" s="1" t="s">
        <v>33</v>
      </c>
      <c r="E48" s="10" t="s">
        <v>51</v>
      </c>
      <c r="Z48" s="11"/>
      <c r="AK48" s="11"/>
    </row>
    <row r="49" spans="1:37">
      <c r="A49" s="11">
        <v>46</v>
      </c>
      <c r="B49" s="1">
        <v>10</v>
      </c>
      <c r="C49" s="1">
        <v>4</v>
      </c>
      <c r="D49" s="1" t="s">
        <v>33</v>
      </c>
      <c r="E49" s="10" t="s">
        <v>51</v>
      </c>
      <c r="Z49" s="11"/>
      <c r="AK49" s="11"/>
    </row>
    <row r="50" spans="1:37">
      <c r="A50" s="11">
        <v>47</v>
      </c>
      <c r="B50" s="1">
        <v>11</v>
      </c>
      <c r="C50" s="1">
        <v>4</v>
      </c>
      <c r="D50" s="1" t="s">
        <v>33</v>
      </c>
      <c r="E50" s="10" t="s">
        <v>51</v>
      </c>
      <c r="Z50" s="11"/>
      <c r="AK50" s="11"/>
    </row>
    <row r="51" spans="1:37">
      <c r="A51" s="11">
        <v>48</v>
      </c>
      <c r="B51" s="1">
        <v>12</v>
      </c>
      <c r="C51" s="1">
        <v>4</v>
      </c>
      <c r="D51" s="1" t="s">
        <v>33</v>
      </c>
      <c r="E51" s="10" t="s">
        <v>51</v>
      </c>
      <c r="Z51" s="11"/>
      <c r="AK51" s="11"/>
    </row>
    <row r="52" spans="1:37">
      <c r="A52" s="11">
        <v>49</v>
      </c>
      <c r="B52" s="1">
        <v>1</v>
      </c>
      <c r="C52" s="1">
        <v>5</v>
      </c>
      <c r="D52" s="1" t="s">
        <v>34</v>
      </c>
      <c r="E52" s="10" t="s">
        <v>51</v>
      </c>
      <c r="Z52" s="11"/>
      <c r="AK52" s="11"/>
    </row>
    <row r="53" spans="1:37">
      <c r="A53" s="11">
        <v>50</v>
      </c>
      <c r="B53" s="1">
        <v>2</v>
      </c>
      <c r="C53" s="1">
        <v>5</v>
      </c>
      <c r="D53" s="1" t="s">
        <v>34</v>
      </c>
      <c r="E53" s="10" t="s">
        <v>51</v>
      </c>
      <c r="Z53" s="11"/>
      <c r="AK53" s="11"/>
    </row>
    <row r="54" spans="1:37">
      <c r="A54" s="11">
        <v>51</v>
      </c>
      <c r="B54" s="1">
        <v>3</v>
      </c>
      <c r="C54" s="1">
        <v>5</v>
      </c>
      <c r="D54" s="1" t="s">
        <v>34</v>
      </c>
      <c r="E54" s="10" t="s">
        <v>51</v>
      </c>
      <c r="Z54" s="11"/>
      <c r="AK54" s="11"/>
    </row>
    <row r="55" spans="1:37">
      <c r="A55" s="11">
        <v>52</v>
      </c>
      <c r="B55" s="1">
        <v>4</v>
      </c>
      <c r="C55" s="1">
        <v>5</v>
      </c>
      <c r="D55" s="1" t="s">
        <v>34</v>
      </c>
      <c r="E55" s="10" t="s">
        <v>51</v>
      </c>
      <c r="Z55" s="11"/>
      <c r="AK55" s="11"/>
    </row>
    <row r="56" spans="1:37">
      <c r="A56" s="11">
        <v>53</v>
      </c>
      <c r="B56" s="1">
        <v>5</v>
      </c>
      <c r="C56" s="1">
        <v>5</v>
      </c>
      <c r="D56" s="1" t="s">
        <v>34</v>
      </c>
      <c r="E56" s="10" t="s">
        <v>51</v>
      </c>
      <c r="Z56" s="11"/>
      <c r="AK56" s="11"/>
    </row>
    <row r="57" spans="1:37">
      <c r="A57" s="11">
        <v>54</v>
      </c>
      <c r="B57" s="1">
        <v>6</v>
      </c>
      <c r="C57" s="1">
        <v>5</v>
      </c>
      <c r="D57" s="1" t="s">
        <v>34</v>
      </c>
      <c r="E57" s="10" t="s">
        <v>51</v>
      </c>
      <c r="Z57" s="11"/>
      <c r="AK57" s="11"/>
    </row>
    <row r="58" spans="1:37">
      <c r="A58" s="11">
        <v>55</v>
      </c>
      <c r="B58" s="1">
        <v>7</v>
      </c>
      <c r="C58" s="1">
        <v>5</v>
      </c>
      <c r="D58" s="1" t="s">
        <v>34</v>
      </c>
      <c r="E58" s="10" t="s">
        <v>51</v>
      </c>
      <c r="Z58" s="11"/>
      <c r="AK58" s="11"/>
    </row>
    <row r="59" spans="1:37">
      <c r="A59" s="11">
        <v>56</v>
      </c>
      <c r="B59" s="1">
        <v>8</v>
      </c>
      <c r="C59" s="1">
        <v>5</v>
      </c>
      <c r="D59" s="1" t="s">
        <v>34</v>
      </c>
      <c r="E59" s="10" t="s">
        <v>51</v>
      </c>
      <c r="Z59" s="11"/>
      <c r="AK59" s="11"/>
    </row>
    <row r="60" spans="1:37">
      <c r="A60" s="11">
        <v>57</v>
      </c>
      <c r="B60" s="1">
        <v>9</v>
      </c>
      <c r="C60" s="1">
        <v>5</v>
      </c>
      <c r="D60" s="1" t="s">
        <v>34</v>
      </c>
      <c r="E60" s="10" t="s">
        <v>51</v>
      </c>
      <c r="Z60" s="11"/>
      <c r="AK60" s="11"/>
    </row>
    <row r="61" spans="1:37">
      <c r="A61" s="11">
        <v>58</v>
      </c>
      <c r="B61" s="1">
        <v>10</v>
      </c>
      <c r="C61" s="1">
        <v>5</v>
      </c>
      <c r="D61" s="1" t="s">
        <v>34</v>
      </c>
      <c r="E61" s="10" t="s">
        <v>51</v>
      </c>
      <c r="Z61" s="11"/>
      <c r="AK61" s="11"/>
    </row>
    <row r="62" spans="1:37">
      <c r="A62" s="11">
        <v>59</v>
      </c>
      <c r="B62" s="1">
        <v>11</v>
      </c>
      <c r="C62" s="1">
        <v>5</v>
      </c>
      <c r="D62" s="1" t="s">
        <v>34</v>
      </c>
      <c r="E62" s="10" t="s">
        <v>51</v>
      </c>
      <c r="Z62" s="11"/>
      <c r="AK62" s="11"/>
    </row>
    <row r="63" spans="1:37">
      <c r="A63" s="11">
        <v>60</v>
      </c>
      <c r="B63" s="1">
        <v>12</v>
      </c>
      <c r="C63" s="1">
        <v>5</v>
      </c>
      <c r="D63" s="1" t="s">
        <v>34</v>
      </c>
      <c r="E63" s="10" t="s">
        <v>51</v>
      </c>
      <c r="Z63" s="11"/>
      <c r="AK63" s="11"/>
    </row>
    <row r="64" spans="1:37">
      <c r="A64" s="11">
        <v>61</v>
      </c>
      <c r="B64" s="1">
        <v>1</v>
      </c>
      <c r="C64" s="1">
        <v>6</v>
      </c>
      <c r="D64" s="1" t="s">
        <v>35</v>
      </c>
      <c r="E64" s="10" t="s">
        <v>51</v>
      </c>
      <c r="Z64" s="11"/>
      <c r="AK64" s="11"/>
    </row>
    <row r="65" spans="1:37">
      <c r="A65" s="11">
        <v>62</v>
      </c>
      <c r="B65" s="1">
        <v>2</v>
      </c>
      <c r="C65" s="1">
        <v>6</v>
      </c>
      <c r="D65" s="1" t="s">
        <v>35</v>
      </c>
      <c r="E65" s="10" t="s">
        <v>51</v>
      </c>
      <c r="Z65" s="11"/>
      <c r="AK65" s="11"/>
    </row>
    <row r="66" spans="1:37">
      <c r="A66" s="11">
        <v>63</v>
      </c>
      <c r="B66" s="1">
        <v>3</v>
      </c>
      <c r="C66" s="1">
        <v>6</v>
      </c>
      <c r="D66" s="1" t="s">
        <v>35</v>
      </c>
      <c r="E66" s="10" t="s">
        <v>51</v>
      </c>
      <c r="Z66" s="11"/>
      <c r="AK66" s="11"/>
    </row>
    <row r="67" spans="1:37">
      <c r="A67" s="11">
        <v>64</v>
      </c>
      <c r="B67" s="1">
        <v>4</v>
      </c>
      <c r="C67" s="1">
        <v>6</v>
      </c>
      <c r="D67" s="1" t="s">
        <v>35</v>
      </c>
      <c r="E67" s="10" t="s">
        <v>51</v>
      </c>
      <c r="Z67" s="11"/>
      <c r="AK67" s="11"/>
    </row>
    <row r="68" spans="1:37">
      <c r="A68" s="11">
        <v>65</v>
      </c>
      <c r="B68" s="1">
        <v>5</v>
      </c>
      <c r="C68" s="1">
        <v>6</v>
      </c>
      <c r="D68" s="1" t="s">
        <v>35</v>
      </c>
      <c r="E68" s="10" t="s">
        <v>51</v>
      </c>
      <c r="Z68" s="11"/>
      <c r="AK68" s="11"/>
    </row>
    <row r="69" spans="1:37">
      <c r="A69" s="11">
        <v>66</v>
      </c>
      <c r="B69" s="1">
        <v>6</v>
      </c>
      <c r="C69" s="1">
        <v>6</v>
      </c>
      <c r="D69" s="1" t="s">
        <v>35</v>
      </c>
      <c r="E69" s="10" t="s">
        <v>51</v>
      </c>
      <c r="Z69" s="11"/>
      <c r="AK69" s="11"/>
    </row>
    <row r="70" spans="1:37">
      <c r="A70" s="11">
        <v>67</v>
      </c>
      <c r="B70" s="1">
        <v>7</v>
      </c>
      <c r="C70" s="1">
        <v>6</v>
      </c>
      <c r="D70" s="1" t="s">
        <v>35</v>
      </c>
      <c r="E70" s="10" t="s">
        <v>51</v>
      </c>
      <c r="Z70" s="11"/>
      <c r="AK70" s="11"/>
    </row>
    <row r="71" spans="1:37">
      <c r="A71" s="11">
        <v>68</v>
      </c>
      <c r="B71" s="1">
        <v>8</v>
      </c>
      <c r="C71" s="1">
        <v>6</v>
      </c>
      <c r="D71" s="1" t="s">
        <v>35</v>
      </c>
      <c r="E71" s="10" t="s">
        <v>51</v>
      </c>
      <c r="Z71" s="11"/>
      <c r="AK71" s="11"/>
    </row>
    <row r="72" spans="1:37">
      <c r="A72" s="11">
        <v>69</v>
      </c>
      <c r="B72" s="1">
        <v>9</v>
      </c>
      <c r="C72" s="1">
        <v>6</v>
      </c>
      <c r="D72" s="1" t="s">
        <v>35</v>
      </c>
      <c r="E72" s="10" t="s">
        <v>51</v>
      </c>
      <c r="Z72" s="11"/>
      <c r="AK72" s="11"/>
    </row>
    <row r="73" spans="1:37">
      <c r="A73" s="11">
        <v>70</v>
      </c>
      <c r="B73" s="1">
        <v>10</v>
      </c>
      <c r="C73" s="1">
        <v>6</v>
      </c>
      <c r="D73" s="1" t="s">
        <v>35</v>
      </c>
      <c r="E73" s="10" t="s">
        <v>51</v>
      </c>
      <c r="Z73" s="11"/>
      <c r="AK73" s="11"/>
    </row>
    <row r="74" spans="1:37">
      <c r="A74" s="11">
        <v>71</v>
      </c>
      <c r="B74" s="1">
        <v>11</v>
      </c>
      <c r="C74" s="1">
        <v>6</v>
      </c>
      <c r="D74" s="1" t="s">
        <v>35</v>
      </c>
      <c r="E74" s="10" t="s">
        <v>51</v>
      </c>
      <c r="Z74" s="11"/>
      <c r="AK74" s="11"/>
    </row>
    <row r="75" spans="1:37">
      <c r="A75" s="11">
        <v>72</v>
      </c>
      <c r="B75" s="1">
        <v>12</v>
      </c>
      <c r="C75" s="1">
        <v>6</v>
      </c>
      <c r="D75" s="1" t="s">
        <v>35</v>
      </c>
      <c r="E75" s="10" t="s">
        <v>51</v>
      </c>
      <c r="Z75" s="11"/>
      <c r="AK75" s="11"/>
    </row>
    <row r="76" spans="1:37">
      <c r="A76" s="11">
        <v>73</v>
      </c>
      <c r="B76" s="1">
        <v>1</v>
      </c>
      <c r="C76" s="1">
        <v>7</v>
      </c>
      <c r="D76" s="1" t="s">
        <v>36</v>
      </c>
      <c r="E76" s="10" t="s">
        <v>51</v>
      </c>
      <c r="Z76" s="11"/>
      <c r="AK76" s="11"/>
    </row>
    <row r="77" spans="1:37">
      <c r="A77" s="11">
        <v>74</v>
      </c>
      <c r="B77" s="1">
        <v>2</v>
      </c>
      <c r="C77" s="1">
        <v>7</v>
      </c>
      <c r="D77" s="1" t="s">
        <v>36</v>
      </c>
      <c r="E77" s="10" t="s">
        <v>51</v>
      </c>
      <c r="Z77" s="11"/>
      <c r="AK77" s="11"/>
    </row>
    <row r="78" spans="1:37">
      <c r="A78" s="11">
        <v>75</v>
      </c>
      <c r="B78" s="1">
        <v>3</v>
      </c>
      <c r="C78" s="1">
        <v>7</v>
      </c>
      <c r="D78" s="1" t="s">
        <v>36</v>
      </c>
      <c r="E78" s="10" t="s">
        <v>51</v>
      </c>
      <c r="Z78" s="11"/>
      <c r="AK78" s="11"/>
    </row>
    <row r="79" spans="1:37">
      <c r="A79" s="11">
        <v>76</v>
      </c>
      <c r="B79" s="1">
        <v>4</v>
      </c>
      <c r="C79" s="1">
        <v>7</v>
      </c>
      <c r="D79" s="1" t="s">
        <v>36</v>
      </c>
      <c r="E79" s="10" t="s">
        <v>51</v>
      </c>
      <c r="Z79" s="11"/>
      <c r="AK79" s="11"/>
    </row>
    <row r="80" spans="1:37">
      <c r="A80" s="11">
        <v>77</v>
      </c>
      <c r="B80" s="1">
        <v>5</v>
      </c>
      <c r="C80" s="1">
        <v>7</v>
      </c>
      <c r="D80" s="1" t="s">
        <v>36</v>
      </c>
      <c r="E80" s="10" t="s">
        <v>51</v>
      </c>
      <c r="Z80" s="11"/>
      <c r="AK80" s="11"/>
    </row>
    <row r="81" spans="1:37">
      <c r="A81" s="11">
        <v>78</v>
      </c>
      <c r="B81" s="1">
        <v>6</v>
      </c>
      <c r="C81" s="1">
        <v>7</v>
      </c>
      <c r="D81" s="1" t="s">
        <v>36</v>
      </c>
      <c r="E81" s="10" t="s">
        <v>51</v>
      </c>
      <c r="Z81" s="11"/>
      <c r="AK81" s="11"/>
    </row>
    <row r="82" spans="1:37">
      <c r="A82" s="11">
        <v>79</v>
      </c>
      <c r="B82" s="1">
        <v>7</v>
      </c>
      <c r="C82" s="1">
        <v>7</v>
      </c>
      <c r="D82" s="1" t="s">
        <v>36</v>
      </c>
      <c r="E82" s="10" t="s">
        <v>51</v>
      </c>
      <c r="Z82" s="11"/>
      <c r="AK82" s="11"/>
    </row>
    <row r="83" spans="1:37">
      <c r="A83" s="11">
        <v>80</v>
      </c>
      <c r="B83" s="1">
        <v>8</v>
      </c>
      <c r="C83" s="1">
        <v>7</v>
      </c>
      <c r="D83" s="1" t="s">
        <v>36</v>
      </c>
      <c r="E83" s="10" t="s">
        <v>51</v>
      </c>
      <c r="Z83" s="11"/>
      <c r="AK83" s="11"/>
    </row>
    <row r="84" spans="1:37">
      <c r="A84" s="11">
        <v>81</v>
      </c>
      <c r="B84" s="1">
        <v>9</v>
      </c>
      <c r="C84" s="1">
        <v>7</v>
      </c>
      <c r="D84" s="1" t="s">
        <v>36</v>
      </c>
      <c r="E84" s="10" t="s">
        <v>51</v>
      </c>
      <c r="Z84" s="11"/>
      <c r="AK84" s="11"/>
    </row>
    <row r="85" spans="1:37">
      <c r="A85" s="11">
        <v>82</v>
      </c>
      <c r="B85" s="1">
        <v>10</v>
      </c>
      <c r="C85" s="1">
        <v>7</v>
      </c>
      <c r="D85" s="1" t="s">
        <v>36</v>
      </c>
      <c r="E85" s="10" t="s">
        <v>51</v>
      </c>
      <c r="Z85" s="11"/>
      <c r="AK85" s="11"/>
    </row>
    <row r="86" spans="1:37">
      <c r="A86" s="11">
        <v>83</v>
      </c>
      <c r="B86" s="1">
        <v>11</v>
      </c>
      <c r="C86" s="1">
        <v>7</v>
      </c>
      <c r="D86" s="1" t="s">
        <v>36</v>
      </c>
      <c r="E86" s="10" t="s">
        <v>51</v>
      </c>
      <c r="Z86" s="11"/>
      <c r="AK86" s="11"/>
    </row>
    <row r="87" spans="1:37">
      <c r="A87" s="11">
        <v>84</v>
      </c>
      <c r="B87" s="1">
        <v>12</v>
      </c>
      <c r="C87" s="1">
        <v>7</v>
      </c>
      <c r="D87" s="1" t="s">
        <v>36</v>
      </c>
      <c r="E87" s="10" t="s">
        <v>51</v>
      </c>
      <c r="Z87" s="11"/>
      <c r="AK87" s="11"/>
    </row>
    <row r="88" spans="1:37">
      <c r="A88" s="11">
        <v>85</v>
      </c>
      <c r="B88" s="1">
        <v>1</v>
      </c>
      <c r="C88" s="1">
        <v>8</v>
      </c>
      <c r="D88" s="1" t="s">
        <v>37</v>
      </c>
      <c r="E88" s="10" t="s">
        <v>51</v>
      </c>
      <c r="Z88" s="11"/>
      <c r="AK88" s="11"/>
    </row>
    <row r="89" spans="1:37">
      <c r="A89" s="11">
        <v>86</v>
      </c>
      <c r="B89" s="1">
        <v>2</v>
      </c>
      <c r="C89" s="1">
        <v>8</v>
      </c>
      <c r="D89" s="1" t="s">
        <v>37</v>
      </c>
      <c r="E89" s="10" t="s">
        <v>51</v>
      </c>
      <c r="Z89" s="11"/>
      <c r="AK89" s="11"/>
    </row>
    <row r="90" spans="1:37">
      <c r="A90" s="11">
        <v>87</v>
      </c>
      <c r="B90" s="1">
        <v>3</v>
      </c>
      <c r="C90" s="1">
        <v>8</v>
      </c>
      <c r="D90" s="1" t="s">
        <v>37</v>
      </c>
      <c r="E90" s="10" t="s">
        <v>51</v>
      </c>
      <c r="Z90" s="11"/>
      <c r="AK90" s="11"/>
    </row>
    <row r="91" spans="1:37">
      <c r="A91" s="11">
        <v>88</v>
      </c>
      <c r="B91" s="1">
        <v>4</v>
      </c>
      <c r="C91" s="1">
        <v>8</v>
      </c>
      <c r="D91" s="1" t="s">
        <v>37</v>
      </c>
      <c r="E91" s="10" t="s">
        <v>51</v>
      </c>
      <c r="Z91" s="11"/>
      <c r="AK91" s="11"/>
    </row>
    <row r="92" spans="1:37">
      <c r="A92" s="11">
        <v>89</v>
      </c>
      <c r="B92" s="1">
        <v>5</v>
      </c>
      <c r="C92" s="1">
        <v>8</v>
      </c>
      <c r="D92" s="1" t="s">
        <v>37</v>
      </c>
      <c r="E92" s="10" t="s">
        <v>51</v>
      </c>
      <c r="Z92" s="11"/>
      <c r="AK92" s="11"/>
    </row>
    <row r="93" spans="1:37">
      <c r="A93" s="11">
        <v>90</v>
      </c>
      <c r="B93" s="1">
        <v>6</v>
      </c>
      <c r="C93" s="1">
        <v>8</v>
      </c>
      <c r="D93" s="1" t="s">
        <v>37</v>
      </c>
      <c r="E93" s="10" t="s">
        <v>51</v>
      </c>
      <c r="Z93" s="11"/>
      <c r="AK93" s="11"/>
    </row>
    <row r="94" spans="1:37">
      <c r="A94" s="11">
        <v>91</v>
      </c>
      <c r="B94" s="1">
        <v>7</v>
      </c>
      <c r="C94" s="1">
        <v>8</v>
      </c>
      <c r="D94" s="1" t="s">
        <v>37</v>
      </c>
      <c r="E94" s="10" t="s">
        <v>51</v>
      </c>
      <c r="Z94" s="11"/>
      <c r="AK94" s="11"/>
    </row>
    <row r="95" spans="1:37">
      <c r="A95" s="11">
        <v>92</v>
      </c>
      <c r="B95" s="1">
        <v>8</v>
      </c>
      <c r="C95" s="1">
        <v>8</v>
      </c>
      <c r="D95" s="1" t="s">
        <v>37</v>
      </c>
      <c r="E95" s="10" t="s">
        <v>51</v>
      </c>
      <c r="Z95" s="11"/>
      <c r="AK95" s="11"/>
    </row>
    <row r="96" spans="1:37">
      <c r="A96" s="11">
        <v>93</v>
      </c>
      <c r="B96" s="1">
        <v>9</v>
      </c>
      <c r="C96" s="1">
        <v>8</v>
      </c>
      <c r="D96" s="1" t="s">
        <v>37</v>
      </c>
      <c r="E96" s="10" t="s">
        <v>51</v>
      </c>
      <c r="Z96" s="11"/>
      <c r="AK96" s="11"/>
    </row>
    <row r="97" spans="1:37">
      <c r="A97" s="11">
        <v>94</v>
      </c>
      <c r="B97" s="1">
        <v>10</v>
      </c>
      <c r="C97" s="1">
        <v>8</v>
      </c>
      <c r="D97" s="1" t="s">
        <v>37</v>
      </c>
      <c r="E97" s="10" t="s">
        <v>51</v>
      </c>
      <c r="Z97" s="11"/>
      <c r="AK97" s="11"/>
    </row>
    <row r="98" spans="1:37">
      <c r="A98" s="11">
        <v>95</v>
      </c>
      <c r="B98" s="1">
        <v>11</v>
      </c>
      <c r="C98" s="1">
        <v>8</v>
      </c>
      <c r="D98" s="1" t="s">
        <v>37</v>
      </c>
      <c r="E98" s="10" t="s">
        <v>51</v>
      </c>
      <c r="Z98" s="11"/>
      <c r="AK98" s="11"/>
    </row>
    <row r="99" spans="1:37">
      <c r="A99" s="8">
        <v>96</v>
      </c>
      <c r="B99" s="1">
        <v>12</v>
      </c>
      <c r="C99" s="1">
        <v>8</v>
      </c>
      <c r="D99" s="1" t="s">
        <v>37</v>
      </c>
      <c r="E99" s="10" t="s">
        <v>51</v>
      </c>
      <c r="G99" s="9"/>
      <c r="H99" s="13"/>
      <c r="I99" s="13"/>
      <c r="J99" s="13"/>
      <c r="K99" s="13"/>
      <c r="L99" s="13"/>
      <c r="M99" s="13"/>
      <c r="N99" s="13"/>
      <c r="O99" s="13"/>
      <c r="P99" s="13"/>
      <c r="R99" s="13"/>
      <c r="S99" s="13"/>
      <c r="T99" s="13"/>
      <c r="U99" s="13"/>
      <c r="V99" s="13"/>
      <c r="W99" s="13"/>
      <c r="X99" s="13"/>
      <c r="Y99" s="13"/>
      <c r="Z99" s="8"/>
      <c r="AA99" s="13"/>
      <c r="AE99" s="13"/>
      <c r="AF99" s="13"/>
      <c r="AG99" s="13"/>
      <c r="AH99" s="13"/>
      <c r="AI99" s="13"/>
      <c r="AJ99" s="13"/>
      <c r="AK99" s="8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95B2-167D-A340-B807-4410332A2551}">
  <dimension ref="A1:S101"/>
  <sheetViews>
    <sheetView workbookViewId="0">
      <selection activeCell="X13" sqref="X13"/>
    </sheetView>
  </sheetViews>
  <sheetFormatPr baseColWidth="10" defaultRowHeight="16"/>
  <cols>
    <col min="1" max="1" width="8.33203125" customWidth="1"/>
    <col min="2" max="2" width="6.6640625" customWidth="1"/>
    <col min="3" max="3" width="7.5" customWidth="1"/>
    <col min="4" max="4" width="5" customWidth="1"/>
    <col min="11" max="11" width="12.33203125" customWidth="1"/>
    <col min="15" max="15" width="12.5" customWidth="1"/>
    <col min="16" max="16" width="12" customWidth="1"/>
    <col min="17" max="17" width="13" customWidth="1"/>
    <col min="18" max="18" width="13.83203125" customWidth="1"/>
    <col min="19" max="19" width="12.6640625" customWidth="1"/>
  </cols>
  <sheetData>
    <row r="1" spans="1:19">
      <c r="A1" s="21" t="s">
        <v>23</v>
      </c>
      <c r="B1" s="13" t="s">
        <v>46</v>
      </c>
      <c r="C1" s="13" t="s">
        <v>47</v>
      </c>
      <c r="D1" s="7" t="s">
        <v>49</v>
      </c>
      <c r="E1" s="9" t="s">
        <v>82</v>
      </c>
      <c r="F1" s="13" t="s">
        <v>83</v>
      </c>
      <c r="G1" s="13" t="s">
        <v>84</v>
      </c>
      <c r="H1" s="13" t="s">
        <v>85</v>
      </c>
      <c r="I1" s="13" t="s">
        <v>86</v>
      </c>
      <c r="J1" s="13" t="s">
        <v>87</v>
      </c>
      <c r="K1" s="13" t="s">
        <v>88</v>
      </c>
      <c r="L1" s="314"/>
      <c r="M1" s="314"/>
      <c r="N1" s="314"/>
      <c r="O1" s="314"/>
      <c r="P1" s="314"/>
      <c r="Q1" s="314"/>
      <c r="R1" s="314"/>
      <c r="S1" s="314"/>
    </row>
    <row r="2" spans="1:19">
      <c r="A2" s="21"/>
      <c r="B2" s="22"/>
      <c r="C2" s="22"/>
      <c r="D2" s="4" t="s">
        <v>22</v>
      </c>
      <c r="E2" s="32">
        <v>1</v>
      </c>
      <c r="F2" s="22">
        <v>2</v>
      </c>
      <c r="G2" s="22">
        <v>3</v>
      </c>
      <c r="H2" s="22">
        <v>4</v>
      </c>
      <c r="I2" s="22">
        <v>5</v>
      </c>
      <c r="J2" s="22">
        <v>6</v>
      </c>
      <c r="K2" s="32">
        <v>7</v>
      </c>
      <c r="L2" s="314"/>
      <c r="M2" s="314"/>
      <c r="N2" s="314"/>
      <c r="O2" s="314"/>
      <c r="P2" s="314"/>
      <c r="Q2" s="314"/>
      <c r="R2" s="314"/>
      <c r="S2" s="314"/>
    </row>
    <row r="3" spans="1:19">
      <c r="A3" s="21"/>
      <c r="B3" s="22"/>
      <c r="C3" s="22"/>
      <c r="D3" s="4" t="s">
        <v>50</v>
      </c>
      <c r="E3" s="32" t="str">
        <f>IF('Uncorrected Area Counts'!G3=0, "-", 'Uncorrected Area Counts'!G3)</f>
        <v>-</v>
      </c>
      <c r="F3" s="32" t="str">
        <f>IF('Uncorrected Area Counts'!H3=0, "-", 'Uncorrected Area Counts'!H3)</f>
        <v>-</v>
      </c>
      <c r="G3" s="32" t="str">
        <f>IF('Uncorrected Area Counts'!I3=0, "-", 'Uncorrected Area Counts'!I3)</f>
        <v>-</v>
      </c>
      <c r="H3" s="32" t="str">
        <f>IF('Uncorrected Area Counts'!J3=0, "-", 'Uncorrected Area Counts'!J3)</f>
        <v>-</v>
      </c>
      <c r="I3" s="32" t="str">
        <f>IF('Uncorrected Area Counts'!K3=0, "-", 'Uncorrected Area Counts'!K3)</f>
        <v>-</v>
      </c>
      <c r="J3" s="32" t="str">
        <f>IF('Uncorrected Area Counts'!L3=0, "-", 'Uncorrected Area Counts'!L3)</f>
        <v>-</v>
      </c>
      <c r="K3" s="32" t="str">
        <f>IF('Uncorrected Area Counts'!M3=0, "-", 'Uncorrected Area Counts'!M3)</f>
        <v>-</v>
      </c>
      <c r="L3" s="314"/>
      <c r="M3" s="314"/>
      <c r="N3" s="314"/>
      <c r="O3" s="314"/>
      <c r="P3" s="314"/>
      <c r="Q3" s="314"/>
      <c r="R3" s="314"/>
      <c r="S3" s="314"/>
    </row>
    <row r="4" spans="1:19">
      <c r="A4" s="11">
        <v>1</v>
      </c>
      <c r="B4" s="1">
        <v>1</v>
      </c>
      <c r="C4" s="1">
        <v>1</v>
      </c>
      <c r="D4" s="10" t="s">
        <v>51</v>
      </c>
      <c r="E4" s="165" t="e">
        <f>'Uncorrected Area Counts'!G4/'Uncorrected Area Counts'!F4*'Plate Planning'!$M$17/'Plate Planning'!$P$18/'Plate Planning'!$M$18*100</f>
        <v>#DIV/0!</v>
      </c>
      <c r="F4" s="165" t="e">
        <f>'Uncorrected Area Counts'!H4/'Uncorrected Area Counts'!F4*'Plate Planning'!$M$17/'Plate Planning'!$P$19/'Plate Planning'!$M$19*100</f>
        <v>#DIV/0!</v>
      </c>
      <c r="G4" s="165" t="e">
        <f>'Uncorrected Area Counts'!I4/'Uncorrected Area Counts'!F4*'Plate Planning'!$M$17/'Plate Planning'!$P$20/'Plate Planning'!$M$20*100</f>
        <v>#DIV/0!</v>
      </c>
      <c r="H4" s="165" t="e">
        <f>'Uncorrected Area Counts'!J4/'Uncorrected Area Counts'!F4*'Plate Planning'!$M$17/'Plate Planning'!$P$21/'Plate Planning'!$M$21*100</f>
        <v>#DIV/0!</v>
      </c>
      <c r="I4" s="165" t="e">
        <f>'Uncorrected Area Counts'!K4/'Uncorrected Area Counts'!F4*'Plate Planning'!$M$17/'Plate Planning'!$P$22/'Plate Planning'!$M$22*100</f>
        <v>#DIV/0!</v>
      </c>
      <c r="J4" s="165" t="e">
        <f>'Uncorrected Area Counts'!L4/'Uncorrected Area Counts'!F4*'Plate Planning'!$M$17/'Plate Planning'!$P$23/'Plate Planning'!$M$23*100</f>
        <v>#DIV/0!</v>
      </c>
      <c r="K4" s="165" t="e">
        <f>'Uncorrected Area Counts'!M4/'Uncorrected Area Counts'!F4*'Plate Planning'!$M$17/'Plate Planning'!$P$24/'Plate Planning'!$M$24*100</f>
        <v>#DIV/0!</v>
      </c>
      <c r="L4" s="315"/>
      <c r="M4" s="315"/>
      <c r="N4" s="315"/>
      <c r="O4" s="315"/>
      <c r="P4" s="315"/>
      <c r="Q4" s="315"/>
      <c r="R4" s="315"/>
      <c r="S4" s="315"/>
    </row>
    <row r="5" spans="1:19">
      <c r="A5" s="11">
        <v>2</v>
      </c>
      <c r="B5" s="1">
        <v>2</v>
      </c>
      <c r="C5" s="1">
        <v>1</v>
      </c>
      <c r="D5" s="10" t="s">
        <v>51</v>
      </c>
      <c r="E5" s="165" t="e">
        <f>'Uncorrected Area Counts'!G5/'Uncorrected Area Counts'!F5*'Plate Planning'!$M$17/'Plate Planning'!$P$18/'Plate Planning'!$M$18*100</f>
        <v>#DIV/0!</v>
      </c>
      <c r="F5" s="165" t="e">
        <f>'Uncorrected Area Counts'!H5/'Uncorrected Area Counts'!F5*'Plate Planning'!$M$17/'Plate Planning'!$P$19/'Plate Planning'!$M$19*100</f>
        <v>#DIV/0!</v>
      </c>
      <c r="G5" s="165" t="e">
        <f>'Uncorrected Area Counts'!I5/'Uncorrected Area Counts'!F5*'Plate Planning'!$M$17/'Plate Planning'!$P$20/'Plate Planning'!$M$20*100</f>
        <v>#DIV/0!</v>
      </c>
      <c r="H5" s="165" t="e">
        <f>'Uncorrected Area Counts'!J5/'Uncorrected Area Counts'!F5*'Plate Planning'!$M$17/'Plate Planning'!$P$21/'Plate Planning'!$M$21*100</f>
        <v>#DIV/0!</v>
      </c>
      <c r="I5" s="165" t="e">
        <f>'Uncorrected Area Counts'!K5/'Uncorrected Area Counts'!F5*'Plate Planning'!$M$17/'Plate Planning'!$P$22/'Plate Planning'!$M$22*100</f>
        <v>#DIV/0!</v>
      </c>
      <c r="J5" s="165" t="e">
        <f>'Uncorrected Area Counts'!L5/'Uncorrected Area Counts'!F5*'Plate Planning'!$M$17/'Plate Planning'!$P$23/'Plate Planning'!$M$23*100</f>
        <v>#DIV/0!</v>
      </c>
      <c r="K5" s="165" t="e">
        <f>'Uncorrected Area Counts'!M5/'Uncorrected Area Counts'!F5*'Plate Planning'!$M$17/'Plate Planning'!$P$24/'Plate Planning'!$M$24*100</f>
        <v>#DIV/0!</v>
      </c>
      <c r="L5" s="315"/>
      <c r="M5" s="315"/>
      <c r="N5" s="315"/>
      <c r="O5" s="315"/>
      <c r="P5" s="315"/>
      <c r="Q5" s="315"/>
      <c r="R5" s="315"/>
      <c r="S5" s="315"/>
    </row>
    <row r="6" spans="1:19">
      <c r="A6" s="11">
        <v>3</v>
      </c>
      <c r="B6" s="1">
        <v>3</v>
      </c>
      <c r="C6" s="1">
        <v>1</v>
      </c>
      <c r="D6" s="10" t="s">
        <v>51</v>
      </c>
      <c r="E6" s="165" t="e">
        <f>'Uncorrected Area Counts'!G6/'Uncorrected Area Counts'!F6*'Plate Planning'!$M$17/'Plate Planning'!$P$18/'Plate Planning'!$M$18*100</f>
        <v>#DIV/0!</v>
      </c>
      <c r="F6" s="165" t="e">
        <f>'Uncorrected Area Counts'!H6/'Uncorrected Area Counts'!F6*'Plate Planning'!$M$17/'Plate Planning'!$P$19/'Plate Planning'!$M$19*100</f>
        <v>#DIV/0!</v>
      </c>
      <c r="G6" s="165" t="e">
        <f>'Uncorrected Area Counts'!I6/'Uncorrected Area Counts'!F6*'Plate Planning'!$M$17/'Plate Planning'!$P$20/'Plate Planning'!$M$20*100</f>
        <v>#DIV/0!</v>
      </c>
      <c r="H6" s="165" t="e">
        <f>'Uncorrected Area Counts'!J6/'Uncorrected Area Counts'!F6*'Plate Planning'!$M$17/'Plate Planning'!$P$21/'Plate Planning'!$M$21*100</f>
        <v>#DIV/0!</v>
      </c>
      <c r="I6" s="165" t="e">
        <f>'Uncorrected Area Counts'!K6/'Uncorrected Area Counts'!F6*'Plate Planning'!$M$17/'Plate Planning'!$P$22/'Plate Planning'!$M$22*100</f>
        <v>#DIV/0!</v>
      </c>
      <c r="J6" s="165" t="e">
        <f>'Uncorrected Area Counts'!L6/'Uncorrected Area Counts'!F6*'Plate Planning'!$M$17/'Plate Planning'!$P$23/'Plate Planning'!$M$23*100</f>
        <v>#DIV/0!</v>
      </c>
      <c r="K6" s="165" t="e">
        <f>'Uncorrected Area Counts'!M6/'Uncorrected Area Counts'!F6*'Plate Planning'!$M$17/'Plate Planning'!$P$24/'Plate Planning'!$M$24*100</f>
        <v>#DIV/0!</v>
      </c>
      <c r="L6" s="315"/>
      <c r="M6" s="315"/>
      <c r="N6" s="315"/>
      <c r="O6" s="315"/>
      <c r="P6" s="315"/>
      <c r="Q6" s="315"/>
      <c r="R6" s="315"/>
      <c r="S6" s="315"/>
    </row>
    <row r="7" spans="1:19">
      <c r="A7" s="11">
        <v>4</v>
      </c>
      <c r="B7" s="1">
        <v>4</v>
      </c>
      <c r="C7" s="1">
        <v>1</v>
      </c>
      <c r="D7" s="10" t="s">
        <v>51</v>
      </c>
      <c r="E7" s="165" t="e">
        <f>'Uncorrected Area Counts'!G7/'Uncorrected Area Counts'!F7*'Plate Planning'!$M$17/'Plate Planning'!$P$18/'Plate Planning'!$M$18*100</f>
        <v>#DIV/0!</v>
      </c>
      <c r="F7" s="165" t="e">
        <f>'Uncorrected Area Counts'!H7/'Uncorrected Area Counts'!F7*'Plate Planning'!$M$17/'Plate Planning'!$P$19/'Plate Planning'!$M$19*100</f>
        <v>#DIV/0!</v>
      </c>
      <c r="G7" s="165" t="e">
        <f>'Uncorrected Area Counts'!I7/'Uncorrected Area Counts'!F7*'Plate Planning'!$M$17/'Plate Planning'!$P$20/'Plate Planning'!$M$20*100</f>
        <v>#DIV/0!</v>
      </c>
      <c r="H7" s="165" t="e">
        <f>'Uncorrected Area Counts'!J7/'Uncorrected Area Counts'!F7*'Plate Planning'!$M$17/'Plate Planning'!$P$21/'Plate Planning'!$M$21*100</f>
        <v>#DIV/0!</v>
      </c>
      <c r="I7" s="165" t="e">
        <f>'Uncorrected Area Counts'!K7/'Uncorrected Area Counts'!F7*'Plate Planning'!$M$17/'Plate Planning'!$P$22/'Plate Planning'!$M$22*100</f>
        <v>#DIV/0!</v>
      </c>
      <c r="J7" s="165" t="e">
        <f>'Uncorrected Area Counts'!L7/'Uncorrected Area Counts'!F7*'Plate Planning'!$M$17/'Plate Planning'!$P$23/'Plate Planning'!$M$23*100</f>
        <v>#DIV/0!</v>
      </c>
      <c r="K7" s="165" t="e">
        <f>'Uncorrected Area Counts'!M7/'Uncorrected Area Counts'!F7*'Plate Planning'!$M$17/'Plate Planning'!$P$24/'Plate Planning'!$M$24*100</f>
        <v>#DIV/0!</v>
      </c>
      <c r="L7" s="315"/>
      <c r="M7" s="315"/>
      <c r="N7" s="315"/>
      <c r="O7" s="315"/>
      <c r="P7" s="315"/>
      <c r="Q7" s="315"/>
      <c r="R7" s="315"/>
      <c r="S7" s="315"/>
    </row>
    <row r="8" spans="1:19">
      <c r="A8" s="11">
        <v>5</v>
      </c>
      <c r="B8" s="1">
        <v>5</v>
      </c>
      <c r="C8" s="1">
        <v>1</v>
      </c>
      <c r="D8" s="10" t="s">
        <v>51</v>
      </c>
      <c r="E8" s="165" t="e">
        <f>'Uncorrected Area Counts'!G8/'Uncorrected Area Counts'!F8*'Plate Planning'!$M$17/'Plate Planning'!$P$18/'Plate Planning'!$M$18*100</f>
        <v>#DIV/0!</v>
      </c>
      <c r="F8" s="165" t="e">
        <f>'Uncorrected Area Counts'!H8/'Uncorrected Area Counts'!F8*'Plate Planning'!$M$17/'Plate Planning'!$P$19/'Plate Planning'!$M$19*100</f>
        <v>#DIV/0!</v>
      </c>
      <c r="G8" s="165" t="e">
        <f>'Uncorrected Area Counts'!I8/'Uncorrected Area Counts'!F8*'Plate Planning'!$M$17/'Plate Planning'!$P$20/'Plate Planning'!$M$20*100</f>
        <v>#DIV/0!</v>
      </c>
      <c r="H8" s="165" t="e">
        <f>'Uncorrected Area Counts'!J8/'Uncorrected Area Counts'!F8*'Plate Planning'!$M$17/'Plate Planning'!$P$21/'Plate Planning'!$M$21*100</f>
        <v>#DIV/0!</v>
      </c>
      <c r="I8" s="165" t="e">
        <f>'Uncorrected Area Counts'!K8/'Uncorrected Area Counts'!F8*'Plate Planning'!$M$17/'Plate Planning'!$P$22/'Plate Planning'!$M$22*100</f>
        <v>#DIV/0!</v>
      </c>
      <c r="J8" s="165" t="e">
        <f>'Uncorrected Area Counts'!L8/'Uncorrected Area Counts'!F8*'Plate Planning'!$M$17/'Plate Planning'!$P$23/'Plate Planning'!$M$23*100</f>
        <v>#DIV/0!</v>
      </c>
      <c r="K8" s="165" t="e">
        <f>'Uncorrected Area Counts'!M8/'Uncorrected Area Counts'!F8*'Plate Planning'!$M$17/'Plate Planning'!$P$24/'Plate Planning'!$M$24*100</f>
        <v>#DIV/0!</v>
      </c>
      <c r="L8" s="315"/>
      <c r="M8" s="315"/>
      <c r="N8" s="315"/>
      <c r="O8" s="315"/>
      <c r="P8" s="315"/>
      <c r="Q8" s="315"/>
      <c r="R8" s="315"/>
      <c r="S8" s="315"/>
    </row>
    <row r="9" spans="1:19">
      <c r="A9" s="11">
        <v>6</v>
      </c>
      <c r="B9" s="1">
        <v>6</v>
      </c>
      <c r="C9" s="1">
        <v>1</v>
      </c>
      <c r="D9" s="10" t="s">
        <v>51</v>
      </c>
      <c r="E9" s="165" t="e">
        <f>'Uncorrected Area Counts'!G9/'Uncorrected Area Counts'!F9*'Plate Planning'!$M$17/'Plate Planning'!$P$18/'Plate Planning'!$M$18*100</f>
        <v>#DIV/0!</v>
      </c>
      <c r="F9" s="165" t="e">
        <f>'Uncorrected Area Counts'!H9/'Uncorrected Area Counts'!F9*'Plate Planning'!$M$17/'Plate Planning'!$P$19/'Plate Planning'!$M$19*100</f>
        <v>#DIV/0!</v>
      </c>
      <c r="G9" s="165" t="e">
        <f>'Uncorrected Area Counts'!I9/'Uncorrected Area Counts'!F9*'Plate Planning'!$M$17/'Plate Planning'!$P$20/'Plate Planning'!$M$20*100</f>
        <v>#DIV/0!</v>
      </c>
      <c r="H9" s="165" t="e">
        <f>'Uncorrected Area Counts'!J9/'Uncorrected Area Counts'!F9*'Plate Planning'!$M$17/'Plate Planning'!$P$21/'Plate Planning'!$M$21*100</f>
        <v>#DIV/0!</v>
      </c>
      <c r="I9" s="165" t="e">
        <f>'Uncorrected Area Counts'!K9/'Uncorrected Area Counts'!F9*'Plate Planning'!$M$17/'Plate Planning'!$P$22/'Plate Planning'!$M$22*100</f>
        <v>#DIV/0!</v>
      </c>
      <c r="J9" s="165" t="e">
        <f>'Uncorrected Area Counts'!L9/'Uncorrected Area Counts'!F9*'Plate Planning'!$M$17/'Plate Planning'!$P$23/'Plate Planning'!$M$23*100</f>
        <v>#DIV/0!</v>
      </c>
      <c r="K9" s="165" t="e">
        <f>'Uncorrected Area Counts'!M9/'Uncorrected Area Counts'!F9*'Plate Planning'!$M$17/'Plate Planning'!$P$24/'Plate Planning'!$M$24*100</f>
        <v>#DIV/0!</v>
      </c>
      <c r="L9" s="315"/>
      <c r="M9" s="315"/>
      <c r="N9" s="315"/>
      <c r="O9" s="315"/>
      <c r="P9" s="315"/>
      <c r="Q9" s="315"/>
      <c r="R9" s="315"/>
      <c r="S9" s="315"/>
    </row>
    <row r="10" spans="1:19">
      <c r="A10" s="11">
        <v>7</v>
      </c>
      <c r="B10" s="1">
        <v>7</v>
      </c>
      <c r="C10" s="1">
        <v>1</v>
      </c>
      <c r="D10" s="10" t="s">
        <v>51</v>
      </c>
      <c r="E10" s="165" t="e">
        <f>'Uncorrected Area Counts'!G10/'Uncorrected Area Counts'!F10*'Plate Planning'!$M$17/'Plate Planning'!$P$18/'Plate Planning'!$M$18*100</f>
        <v>#DIV/0!</v>
      </c>
      <c r="F10" s="165" t="e">
        <f>'Uncorrected Area Counts'!H10/'Uncorrected Area Counts'!F10*'Plate Planning'!$M$17/'Plate Planning'!$P$19/'Plate Planning'!$M$19*100</f>
        <v>#DIV/0!</v>
      </c>
      <c r="G10" s="165" t="e">
        <f>'Uncorrected Area Counts'!I10/'Uncorrected Area Counts'!F10*'Plate Planning'!$M$17/'Plate Planning'!$P$20/'Plate Planning'!$M$20*100</f>
        <v>#DIV/0!</v>
      </c>
      <c r="H10" s="165" t="e">
        <f>'Uncorrected Area Counts'!J10/'Uncorrected Area Counts'!F10*'Plate Planning'!$M$17/'Plate Planning'!$P$21/'Plate Planning'!$M$21*100</f>
        <v>#DIV/0!</v>
      </c>
      <c r="I10" s="165" t="e">
        <f>'Uncorrected Area Counts'!K10/'Uncorrected Area Counts'!F10*'Plate Planning'!$M$17/'Plate Planning'!$P$22/'Plate Planning'!$M$22*100</f>
        <v>#DIV/0!</v>
      </c>
      <c r="J10" s="165" t="e">
        <f>'Uncorrected Area Counts'!L10/'Uncorrected Area Counts'!F10*'Plate Planning'!$M$17/'Plate Planning'!$P$23/'Plate Planning'!$M$23*100</f>
        <v>#DIV/0!</v>
      </c>
      <c r="K10" s="165" t="e">
        <f>'Uncorrected Area Counts'!M10/'Uncorrected Area Counts'!F10*'Plate Planning'!$M$17/'Plate Planning'!$P$24/'Plate Planning'!$M$24*100</f>
        <v>#DIV/0!</v>
      </c>
      <c r="L10" s="315"/>
      <c r="M10" s="315"/>
      <c r="N10" s="315"/>
      <c r="O10" s="315"/>
      <c r="P10" s="315"/>
      <c r="Q10" s="315"/>
      <c r="R10" s="315"/>
      <c r="S10" s="315"/>
    </row>
    <row r="11" spans="1:19">
      <c r="A11" s="11">
        <v>8</v>
      </c>
      <c r="B11" s="1">
        <v>8</v>
      </c>
      <c r="C11" s="1">
        <v>1</v>
      </c>
      <c r="D11" s="10" t="s">
        <v>51</v>
      </c>
      <c r="E11" s="165" t="e">
        <f>'Uncorrected Area Counts'!G11/'Uncorrected Area Counts'!F11*'Plate Planning'!$M$17/'Plate Planning'!$P$18/'Plate Planning'!$M$18*100</f>
        <v>#DIV/0!</v>
      </c>
      <c r="F11" s="165" t="e">
        <f>'Uncorrected Area Counts'!H11/'Uncorrected Area Counts'!F11*'Plate Planning'!$M$17/'Plate Planning'!$P$19/'Plate Planning'!$M$19*100</f>
        <v>#DIV/0!</v>
      </c>
      <c r="G11" s="165" t="e">
        <f>'Uncorrected Area Counts'!I11/'Uncorrected Area Counts'!F11*'Plate Planning'!$M$17/'Plate Planning'!$P$20/'Plate Planning'!$M$20*100</f>
        <v>#DIV/0!</v>
      </c>
      <c r="H11" s="165" t="e">
        <f>'Uncorrected Area Counts'!J11/'Uncorrected Area Counts'!F11*'Plate Planning'!$M$17/'Plate Planning'!$P$21/'Plate Planning'!$M$21*100</f>
        <v>#DIV/0!</v>
      </c>
      <c r="I11" s="165" t="e">
        <f>'Uncorrected Area Counts'!K11/'Uncorrected Area Counts'!F11*'Plate Planning'!$M$17/'Plate Planning'!$P$22/'Plate Planning'!$M$22*100</f>
        <v>#DIV/0!</v>
      </c>
      <c r="J11" s="165" t="e">
        <f>'Uncorrected Area Counts'!L11/'Uncorrected Area Counts'!F11*'Plate Planning'!$M$17/'Plate Planning'!$P$23/'Plate Planning'!$M$23*100</f>
        <v>#DIV/0!</v>
      </c>
      <c r="K11" s="165" t="e">
        <f>'Uncorrected Area Counts'!M11/'Uncorrected Area Counts'!F11*'Plate Planning'!$M$17/'Plate Planning'!$P$24/'Plate Planning'!$M$24*100</f>
        <v>#DIV/0!</v>
      </c>
      <c r="L11" s="315"/>
      <c r="M11" s="315"/>
      <c r="N11" s="315"/>
      <c r="O11" s="315"/>
      <c r="P11" s="315"/>
      <c r="Q11" s="315"/>
      <c r="R11" s="315"/>
      <c r="S11" s="315"/>
    </row>
    <row r="12" spans="1:19">
      <c r="A12" s="11">
        <v>9</v>
      </c>
      <c r="B12" s="1">
        <v>9</v>
      </c>
      <c r="C12" s="1">
        <v>1</v>
      </c>
      <c r="D12" s="10" t="s">
        <v>51</v>
      </c>
      <c r="E12" s="165" t="e">
        <f>'Uncorrected Area Counts'!G12/'Uncorrected Area Counts'!F12*'Plate Planning'!$M$17/'Plate Planning'!$P$18/'Plate Planning'!$M$18*100</f>
        <v>#DIV/0!</v>
      </c>
      <c r="F12" s="165" t="e">
        <f>'Uncorrected Area Counts'!H12/'Uncorrected Area Counts'!F12*'Plate Planning'!$M$17/'Plate Planning'!$P$19/'Plate Planning'!$M$19*100</f>
        <v>#DIV/0!</v>
      </c>
      <c r="G12" s="165" t="e">
        <f>'Uncorrected Area Counts'!I12/'Uncorrected Area Counts'!F12*'Plate Planning'!$M$17/'Plate Planning'!$P$20/'Plate Planning'!$M$20*100</f>
        <v>#DIV/0!</v>
      </c>
      <c r="H12" s="165" t="e">
        <f>'Uncorrected Area Counts'!J12/'Uncorrected Area Counts'!F12*'Plate Planning'!$M$17/'Plate Planning'!$P$21/'Plate Planning'!$M$21*100</f>
        <v>#DIV/0!</v>
      </c>
      <c r="I12" s="165" t="e">
        <f>'Uncorrected Area Counts'!K12/'Uncorrected Area Counts'!F12*'Plate Planning'!$M$17/'Plate Planning'!$P$22/'Plate Planning'!$M$22*100</f>
        <v>#DIV/0!</v>
      </c>
      <c r="J12" s="165" t="e">
        <f>'Uncorrected Area Counts'!L12/'Uncorrected Area Counts'!F12*'Plate Planning'!$M$17/'Plate Planning'!$P$23/'Plate Planning'!$M$23*100</f>
        <v>#DIV/0!</v>
      </c>
      <c r="K12" s="165" t="e">
        <f>'Uncorrected Area Counts'!M12/'Uncorrected Area Counts'!F12*'Plate Planning'!$M$17/'Plate Planning'!$P$24/'Plate Planning'!$M$24*100</f>
        <v>#DIV/0!</v>
      </c>
      <c r="L12" s="315"/>
      <c r="M12" s="315"/>
      <c r="N12" s="315"/>
      <c r="O12" s="315"/>
      <c r="P12" s="315"/>
      <c r="Q12" s="315"/>
      <c r="R12" s="315"/>
      <c r="S12" s="315"/>
    </row>
    <row r="13" spans="1:19">
      <c r="A13" s="11">
        <v>10</v>
      </c>
      <c r="B13" s="1">
        <v>10</v>
      </c>
      <c r="C13" s="1">
        <v>1</v>
      </c>
      <c r="D13" s="10" t="s">
        <v>51</v>
      </c>
      <c r="E13" s="165" t="e">
        <f>'Uncorrected Area Counts'!G13/'Uncorrected Area Counts'!F13*'Plate Planning'!$M$17/'Plate Planning'!$P$18/'Plate Planning'!$M$18*100</f>
        <v>#DIV/0!</v>
      </c>
      <c r="F13" s="165" t="e">
        <f>'Uncorrected Area Counts'!H13/'Uncorrected Area Counts'!F13*'Plate Planning'!$M$17/'Plate Planning'!$P$19/'Plate Planning'!$M$19*100</f>
        <v>#DIV/0!</v>
      </c>
      <c r="G13" s="165" t="e">
        <f>'Uncorrected Area Counts'!I13/'Uncorrected Area Counts'!F13*'Plate Planning'!$M$17/'Plate Planning'!$P$20/'Plate Planning'!$M$20*100</f>
        <v>#DIV/0!</v>
      </c>
      <c r="H13" s="165" t="e">
        <f>'Uncorrected Area Counts'!J13/'Uncorrected Area Counts'!F13*'Plate Planning'!$M$17/'Plate Planning'!$P$21/'Plate Planning'!$M$21*100</f>
        <v>#DIV/0!</v>
      </c>
      <c r="I13" s="165" t="e">
        <f>'Uncorrected Area Counts'!K13/'Uncorrected Area Counts'!F13*'Plate Planning'!$M$17/'Plate Planning'!$P$22/'Plate Planning'!$M$22*100</f>
        <v>#DIV/0!</v>
      </c>
      <c r="J13" s="165" t="e">
        <f>'Uncorrected Area Counts'!L13/'Uncorrected Area Counts'!F13*'Plate Planning'!$M$17/'Plate Planning'!$P$23/'Plate Planning'!$M$23*100</f>
        <v>#DIV/0!</v>
      </c>
      <c r="K13" s="165" t="e">
        <f>'Uncorrected Area Counts'!M13/'Uncorrected Area Counts'!F13*'Plate Planning'!$M$17/'Plate Planning'!$P$24/'Plate Planning'!$M$24*100</f>
        <v>#DIV/0!</v>
      </c>
      <c r="L13" s="315"/>
      <c r="M13" s="315"/>
      <c r="N13" s="315"/>
      <c r="O13" s="315"/>
      <c r="P13" s="315"/>
      <c r="Q13" s="315"/>
      <c r="R13" s="315"/>
      <c r="S13" s="315"/>
    </row>
    <row r="14" spans="1:19">
      <c r="A14" s="11">
        <v>11</v>
      </c>
      <c r="B14" s="1">
        <v>11</v>
      </c>
      <c r="C14" s="1">
        <v>1</v>
      </c>
      <c r="D14" s="10" t="s">
        <v>51</v>
      </c>
      <c r="E14" s="165" t="e">
        <f>'Uncorrected Area Counts'!G14/'Uncorrected Area Counts'!F14*'Plate Planning'!$M$17/'Plate Planning'!$P$18/'Plate Planning'!$M$18*100</f>
        <v>#DIV/0!</v>
      </c>
      <c r="F14" s="165" t="e">
        <f>'Uncorrected Area Counts'!H14/'Uncorrected Area Counts'!F14*'Plate Planning'!$M$17/'Plate Planning'!$P$19/'Plate Planning'!$M$19*100</f>
        <v>#DIV/0!</v>
      </c>
      <c r="G14" s="165" t="e">
        <f>'Uncorrected Area Counts'!I14/'Uncorrected Area Counts'!F14*'Plate Planning'!$M$17/'Plate Planning'!$P$20/'Plate Planning'!$M$20*100</f>
        <v>#DIV/0!</v>
      </c>
      <c r="H14" s="165" t="e">
        <f>'Uncorrected Area Counts'!J14/'Uncorrected Area Counts'!F14*'Plate Planning'!$M$17/'Plate Planning'!$P$21/'Plate Planning'!$M$21*100</f>
        <v>#DIV/0!</v>
      </c>
      <c r="I14" s="165" t="e">
        <f>'Uncorrected Area Counts'!K14/'Uncorrected Area Counts'!F14*'Plate Planning'!$M$17/'Plate Planning'!$P$22/'Plate Planning'!$M$22*100</f>
        <v>#DIV/0!</v>
      </c>
      <c r="J14" s="165" t="e">
        <f>'Uncorrected Area Counts'!L14/'Uncorrected Area Counts'!F14*'Plate Planning'!$M$17/'Plate Planning'!$P$23/'Plate Planning'!$M$23*100</f>
        <v>#DIV/0!</v>
      </c>
      <c r="K14" s="165" t="e">
        <f>'Uncorrected Area Counts'!M14/'Uncorrected Area Counts'!F14*'Plate Planning'!$M$17/'Plate Planning'!$P$24/'Plate Planning'!$M$24*100</f>
        <v>#DIV/0!</v>
      </c>
      <c r="L14" s="315"/>
      <c r="M14" s="315"/>
      <c r="N14" s="315"/>
      <c r="O14" s="315"/>
      <c r="P14" s="315"/>
      <c r="Q14" s="315"/>
      <c r="R14" s="315"/>
      <c r="S14" s="315"/>
    </row>
    <row r="15" spans="1:19">
      <c r="A15" s="11">
        <v>12</v>
      </c>
      <c r="B15" s="1">
        <v>12</v>
      </c>
      <c r="C15" s="1">
        <v>1</v>
      </c>
      <c r="D15" s="10" t="s">
        <v>51</v>
      </c>
      <c r="E15" s="165" t="e">
        <f>'Uncorrected Area Counts'!G15/'Uncorrected Area Counts'!F15*'Plate Planning'!$M$17/'Plate Planning'!$P$18/'Plate Planning'!$M$18*100</f>
        <v>#DIV/0!</v>
      </c>
      <c r="F15" s="165" t="e">
        <f>'Uncorrected Area Counts'!H15/'Uncorrected Area Counts'!F15*'Plate Planning'!$M$17/'Plate Planning'!$P$19/'Plate Planning'!$M$19*100</f>
        <v>#DIV/0!</v>
      </c>
      <c r="G15" s="165" t="e">
        <f>'Uncorrected Area Counts'!I15/'Uncorrected Area Counts'!F15*'Plate Planning'!$M$17/'Plate Planning'!$P$20/'Plate Planning'!$M$20*100</f>
        <v>#DIV/0!</v>
      </c>
      <c r="H15" s="165" t="e">
        <f>'Uncorrected Area Counts'!J15/'Uncorrected Area Counts'!F15*'Plate Planning'!$M$17/'Plate Planning'!$P$21/'Plate Planning'!$M$21*100</f>
        <v>#DIV/0!</v>
      </c>
      <c r="I15" s="165" t="e">
        <f>'Uncorrected Area Counts'!K15/'Uncorrected Area Counts'!F15*'Plate Planning'!$M$17/'Plate Planning'!$P$22/'Plate Planning'!$M$22*100</f>
        <v>#DIV/0!</v>
      </c>
      <c r="J15" s="165" t="e">
        <f>'Uncorrected Area Counts'!L15/'Uncorrected Area Counts'!F15*'Plate Planning'!$M$17/'Plate Planning'!$P$23/'Plate Planning'!$M$23*100</f>
        <v>#DIV/0!</v>
      </c>
      <c r="K15" s="165" t="e">
        <f>'Uncorrected Area Counts'!M15/'Uncorrected Area Counts'!F15*'Plate Planning'!$M$17/'Plate Planning'!$P$24/'Plate Planning'!$M$24*100</f>
        <v>#DIV/0!</v>
      </c>
      <c r="L15" s="315"/>
      <c r="M15" s="315"/>
      <c r="N15" s="315"/>
      <c r="O15" s="315"/>
      <c r="P15" s="315"/>
      <c r="Q15" s="315"/>
      <c r="R15" s="315"/>
      <c r="S15" s="315"/>
    </row>
    <row r="16" spans="1:19">
      <c r="A16" s="11">
        <v>13</v>
      </c>
      <c r="B16" s="1">
        <v>1</v>
      </c>
      <c r="C16" s="1">
        <v>2</v>
      </c>
      <c r="D16" s="10" t="s">
        <v>51</v>
      </c>
      <c r="E16" s="165" t="e">
        <f>'Uncorrected Area Counts'!G16/'Uncorrected Area Counts'!F16*'Plate Planning'!$M$17/'Plate Planning'!$P$18/'Plate Planning'!$M$18*100</f>
        <v>#DIV/0!</v>
      </c>
      <c r="F16" s="165" t="e">
        <f>'Uncorrected Area Counts'!H16/'Uncorrected Area Counts'!F16*'Plate Planning'!$M$17/'Plate Planning'!$P$19/'Plate Planning'!$M$19*100</f>
        <v>#DIV/0!</v>
      </c>
      <c r="G16" s="165" t="e">
        <f>'Uncorrected Area Counts'!I16/'Uncorrected Area Counts'!F16*'Plate Planning'!$M$17/'Plate Planning'!$P$20/'Plate Planning'!$M$20*100</f>
        <v>#DIV/0!</v>
      </c>
      <c r="H16" s="165" t="e">
        <f>'Uncorrected Area Counts'!J16/'Uncorrected Area Counts'!F16*'Plate Planning'!$M$17/'Plate Planning'!$P$21/'Plate Planning'!$M$21*100</f>
        <v>#DIV/0!</v>
      </c>
      <c r="I16" s="165" t="e">
        <f>'Uncorrected Area Counts'!K16/'Uncorrected Area Counts'!F16*'Plate Planning'!$M$17/'Plate Planning'!$P$22/'Plate Planning'!$M$22*100</f>
        <v>#DIV/0!</v>
      </c>
      <c r="J16" s="165" t="e">
        <f>'Uncorrected Area Counts'!L16/'Uncorrected Area Counts'!F16*'Plate Planning'!$M$17/'Plate Planning'!$P$23/'Plate Planning'!$M$23*100</f>
        <v>#DIV/0!</v>
      </c>
      <c r="K16" s="165" t="e">
        <f>'Uncorrected Area Counts'!M16/'Uncorrected Area Counts'!F16*'Plate Planning'!$M$17/'Plate Planning'!$P$24/'Plate Planning'!$M$24*100</f>
        <v>#DIV/0!</v>
      </c>
      <c r="L16" s="315"/>
      <c r="M16" s="315"/>
      <c r="N16" s="315"/>
      <c r="O16" s="315"/>
      <c r="P16" s="315"/>
      <c r="Q16" s="315"/>
      <c r="R16" s="315"/>
      <c r="S16" s="315"/>
    </row>
    <row r="17" spans="1:19">
      <c r="A17" s="11">
        <v>14</v>
      </c>
      <c r="B17" s="1">
        <v>2</v>
      </c>
      <c r="C17" s="1">
        <v>2</v>
      </c>
      <c r="D17" s="10" t="s">
        <v>51</v>
      </c>
      <c r="E17" s="165" t="e">
        <f>'Uncorrected Area Counts'!G17/'Uncorrected Area Counts'!F17*'Plate Planning'!$M$17/'Plate Planning'!$P$18/'Plate Planning'!$M$18*100</f>
        <v>#DIV/0!</v>
      </c>
      <c r="F17" s="165" t="e">
        <f>'Uncorrected Area Counts'!H17/'Uncorrected Area Counts'!F17*'Plate Planning'!$M$17/'Plate Planning'!$P$19/'Plate Planning'!$M$19*100</f>
        <v>#DIV/0!</v>
      </c>
      <c r="G17" s="165" t="e">
        <f>'Uncorrected Area Counts'!I17/'Uncorrected Area Counts'!F17*'Plate Planning'!$M$17/'Plate Planning'!$P$20/'Plate Planning'!$M$20*100</f>
        <v>#DIV/0!</v>
      </c>
      <c r="H17" s="165" t="e">
        <f>'Uncorrected Area Counts'!J17/'Uncorrected Area Counts'!F17*'Plate Planning'!$M$17/'Plate Planning'!$P$21/'Plate Planning'!$M$21*100</f>
        <v>#DIV/0!</v>
      </c>
      <c r="I17" s="165" t="e">
        <f>'Uncorrected Area Counts'!K17/'Uncorrected Area Counts'!F17*'Plate Planning'!$M$17/'Plate Planning'!$P$22/'Plate Planning'!$M$22*100</f>
        <v>#DIV/0!</v>
      </c>
      <c r="J17" s="165" t="e">
        <f>'Uncorrected Area Counts'!L17/'Uncorrected Area Counts'!F17*'Plate Planning'!$M$17/'Plate Planning'!$P$23/'Plate Planning'!$M$23*100</f>
        <v>#DIV/0!</v>
      </c>
      <c r="K17" s="165" t="e">
        <f>'Uncorrected Area Counts'!M17/'Uncorrected Area Counts'!F17*'Plate Planning'!$M$17/'Plate Planning'!$P$24/'Plate Planning'!$M$24*100</f>
        <v>#DIV/0!</v>
      </c>
      <c r="L17" s="315"/>
      <c r="M17" s="315"/>
      <c r="N17" s="315"/>
      <c r="O17" s="315"/>
      <c r="P17" s="315"/>
      <c r="Q17" s="315"/>
      <c r="R17" s="315"/>
      <c r="S17" s="315"/>
    </row>
    <row r="18" spans="1:19">
      <c r="A18" s="11">
        <v>15</v>
      </c>
      <c r="B18" s="1">
        <v>3</v>
      </c>
      <c r="C18" s="1">
        <v>2</v>
      </c>
      <c r="D18" s="10" t="s">
        <v>51</v>
      </c>
      <c r="E18" s="165" t="e">
        <f>'Uncorrected Area Counts'!G18/'Uncorrected Area Counts'!F18*'Plate Planning'!$M$17/'Plate Planning'!$P$18/'Plate Planning'!$M$18*100</f>
        <v>#DIV/0!</v>
      </c>
      <c r="F18" s="165" t="e">
        <f>'Uncorrected Area Counts'!H18/'Uncorrected Area Counts'!F18*'Plate Planning'!$M$17/'Plate Planning'!$P$19/'Plate Planning'!$M$19*100</f>
        <v>#DIV/0!</v>
      </c>
      <c r="G18" s="165" t="e">
        <f>'Uncorrected Area Counts'!I18/'Uncorrected Area Counts'!F18*'Plate Planning'!$M$17/'Plate Planning'!$P$20/'Plate Planning'!$M$20*100</f>
        <v>#DIV/0!</v>
      </c>
      <c r="H18" s="165" t="e">
        <f>'Uncorrected Area Counts'!J18/'Uncorrected Area Counts'!F18*'Plate Planning'!$M$17/'Plate Planning'!$P$21/'Plate Planning'!$M$21*100</f>
        <v>#DIV/0!</v>
      </c>
      <c r="I18" s="165" t="e">
        <f>'Uncorrected Area Counts'!K18/'Uncorrected Area Counts'!F18*'Plate Planning'!$M$17/'Plate Planning'!$P$22/'Plate Planning'!$M$22*100</f>
        <v>#DIV/0!</v>
      </c>
      <c r="J18" s="165" t="e">
        <f>'Uncorrected Area Counts'!L18/'Uncorrected Area Counts'!F18*'Plate Planning'!$M$17/'Plate Planning'!$P$23/'Plate Planning'!$M$23*100</f>
        <v>#DIV/0!</v>
      </c>
      <c r="K18" s="165" t="e">
        <f>'Uncorrected Area Counts'!M18/'Uncorrected Area Counts'!F18*'Plate Planning'!$M$17/'Plate Planning'!$P$24/'Plate Planning'!$M$24*100</f>
        <v>#DIV/0!</v>
      </c>
      <c r="L18" s="315"/>
      <c r="M18" s="315"/>
      <c r="N18" s="315"/>
      <c r="O18" s="315"/>
      <c r="P18" s="315"/>
      <c r="Q18" s="315"/>
      <c r="R18" s="315"/>
      <c r="S18" s="315"/>
    </row>
    <row r="19" spans="1:19">
      <c r="A19" s="11">
        <v>16</v>
      </c>
      <c r="B19" s="1">
        <v>4</v>
      </c>
      <c r="C19" s="1">
        <v>2</v>
      </c>
      <c r="D19" s="10" t="s">
        <v>51</v>
      </c>
      <c r="E19" s="165" t="e">
        <f>'Uncorrected Area Counts'!G19/'Uncorrected Area Counts'!F19*'Plate Planning'!$M$17/'Plate Planning'!$P$18/'Plate Planning'!$M$18*100</f>
        <v>#DIV/0!</v>
      </c>
      <c r="F19" s="165" t="e">
        <f>'Uncorrected Area Counts'!H19/'Uncorrected Area Counts'!F19*'Plate Planning'!$M$17/'Plate Planning'!$P$19/'Plate Planning'!$M$19*100</f>
        <v>#DIV/0!</v>
      </c>
      <c r="G19" s="165" t="e">
        <f>'Uncorrected Area Counts'!I19/'Uncorrected Area Counts'!F19*'Plate Planning'!$M$17/'Plate Planning'!$P$20/'Plate Planning'!$M$20*100</f>
        <v>#DIV/0!</v>
      </c>
      <c r="H19" s="165" t="e">
        <f>'Uncorrected Area Counts'!J19/'Uncorrected Area Counts'!F19*'Plate Planning'!$M$17/'Plate Planning'!$P$21/'Plate Planning'!$M$21*100</f>
        <v>#DIV/0!</v>
      </c>
      <c r="I19" s="165" t="e">
        <f>'Uncorrected Area Counts'!K19/'Uncorrected Area Counts'!F19*'Plate Planning'!$M$17/'Plate Planning'!$P$22/'Plate Planning'!$M$22*100</f>
        <v>#DIV/0!</v>
      </c>
      <c r="J19" s="165" t="e">
        <f>'Uncorrected Area Counts'!L19/'Uncorrected Area Counts'!F19*'Plate Planning'!$M$17/'Plate Planning'!$P$23/'Plate Planning'!$M$23*100</f>
        <v>#DIV/0!</v>
      </c>
      <c r="K19" s="165" t="e">
        <f>'Uncorrected Area Counts'!M19/'Uncorrected Area Counts'!F19*'Plate Planning'!$M$17/'Plate Planning'!$P$24/'Plate Planning'!$M$24*100</f>
        <v>#DIV/0!</v>
      </c>
      <c r="L19" s="315"/>
      <c r="M19" s="315"/>
      <c r="N19" s="315"/>
      <c r="O19" s="315"/>
      <c r="P19" s="315"/>
      <c r="Q19" s="315"/>
      <c r="R19" s="315"/>
      <c r="S19" s="315"/>
    </row>
    <row r="20" spans="1:19">
      <c r="A20" s="11">
        <v>17</v>
      </c>
      <c r="B20" s="1">
        <v>5</v>
      </c>
      <c r="C20" s="1">
        <v>2</v>
      </c>
      <c r="D20" s="10" t="s">
        <v>51</v>
      </c>
      <c r="E20" s="165" t="e">
        <f>'Uncorrected Area Counts'!G20/'Uncorrected Area Counts'!F20*'Plate Planning'!$M$17/'Plate Planning'!$P$18/'Plate Planning'!$M$18*100</f>
        <v>#DIV/0!</v>
      </c>
      <c r="F20" s="165" t="e">
        <f>'Uncorrected Area Counts'!H20/'Uncorrected Area Counts'!F20*'Plate Planning'!$M$17/'Plate Planning'!$P$19/'Plate Planning'!$M$19*100</f>
        <v>#DIV/0!</v>
      </c>
      <c r="G20" s="165" t="e">
        <f>'Uncorrected Area Counts'!I20/'Uncorrected Area Counts'!F20*'Plate Planning'!$M$17/'Plate Planning'!$P$20/'Plate Planning'!$M$20*100</f>
        <v>#DIV/0!</v>
      </c>
      <c r="H20" s="165" t="e">
        <f>'Uncorrected Area Counts'!J20/'Uncorrected Area Counts'!F20*'Plate Planning'!$M$17/'Plate Planning'!$P$21/'Plate Planning'!$M$21*100</f>
        <v>#DIV/0!</v>
      </c>
      <c r="I20" s="165" t="e">
        <f>'Uncorrected Area Counts'!K20/'Uncorrected Area Counts'!F20*'Plate Planning'!$M$17/'Plate Planning'!$P$22/'Plate Planning'!$M$22*100</f>
        <v>#DIV/0!</v>
      </c>
      <c r="J20" s="165" t="e">
        <f>'Uncorrected Area Counts'!L20/'Uncorrected Area Counts'!F20*'Plate Planning'!$M$17/'Plate Planning'!$P$23/'Plate Planning'!$M$23*100</f>
        <v>#DIV/0!</v>
      </c>
      <c r="K20" s="165" t="e">
        <f>'Uncorrected Area Counts'!M20/'Uncorrected Area Counts'!F20*'Plate Planning'!$M$17/'Plate Planning'!$P$24/'Plate Planning'!$M$24*100</f>
        <v>#DIV/0!</v>
      </c>
      <c r="L20" s="315"/>
      <c r="M20" s="315"/>
      <c r="N20" s="315"/>
      <c r="O20" s="315"/>
      <c r="P20" s="315"/>
      <c r="Q20" s="315"/>
      <c r="R20" s="315"/>
      <c r="S20" s="315"/>
    </row>
    <row r="21" spans="1:19">
      <c r="A21" s="11">
        <v>18</v>
      </c>
      <c r="B21" s="1">
        <v>6</v>
      </c>
      <c r="C21" s="1">
        <v>2</v>
      </c>
      <c r="D21" s="10" t="s">
        <v>51</v>
      </c>
      <c r="E21" s="165" t="e">
        <f>'Uncorrected Area Counts'!G21/'Uncorrected Area Counts'!F21*'Plate Planning'!$M$17/'Plate Planning'!$P$18/'Plate Planning'!$M$18*100</f>
        <v>#DIV/0!</v>
      </c>
      <c r="F21" s="165" t="e">
        <f>'Uncorrected Area Counts'!H21/'Uncorrected Area Counts'!F21*'Plate Planning'!$M$17/'Plate Planning'!$P$19/'Plate Planning'!$M$19*100</f>
        <v>#DIV/0!</v>
      </c>
      <c r="G21" s="165" t="e">
        <f>'Uncorrected Area Counts'!I21/'Uncorrected Area Counts'!F21*'Plate Planning'!$M$17/'Plate Planning'!$P$20/'Plate Planning'!$M$20*100</f>
        <v>#DIV/0!</v>
      </c>
      <c r="H21" s="165" t="e">
        <f>'Uncorrected Area Counts'!J21/'Uncorrected Area Counts'!F21*'Plate Planning'!$M$17/'Plate Planning'!$P$21/'Plate Planning'!$M$21*100</f>
        <v>#DIV/0!</v>
      </c>
      <c r="I21" s="165" t="e">
        <f>'Uncorrected Area Counts'!K21/'Uncorrected Area Counts'!F21*'Plate Planning'!$M$17/'Plate Planning'!$P$22/'Plate Planning'!$M$22*100</f>
        <v>#DIV/0!</v>
      </c>
      <c r="J21" s="165" t="e">
        <f>'Uncorrected Area Counts'!L21/'Uncorrected Area Counts'!F21*'Plate Planning'!$M$17/'Plate Planning'!$P$23/'Plate Planning'!$M$23*100</f>
        <v>#DIV/0!</v>
      </c>
      <c r="K21" s="165" t="e">
        <f>'Uncorrected Area Counts'!M21/'Uncorrected Area Counts'!F21*'Plate Planning'!$M$17/'Plate Planning'!$P$24/'Plate Planning'!$M$24*100</f>
        <v>#DIV/0!</v>
      </c>
      <c r="L21" s="315"/>
      <c r="M21" s="315"/>
      <c r="N21" s="315"/>
      <c r="O21" s="315"/>
      <c r="P21" s="315"/>
      <c r="Q21" s="315"/>
      <c r="R21" s="315"/>
      <c r="S21" s="315"/>
    </row>
    <row r="22" spans="1:19">
      <c r="A22" s="11">
        <v>19</v>
      </c>
      <c r="B22" s="1">
        <v>7</v>
      </c>
      <c r="C22" s="1">
        <v>2</v>
      </c>
      <c r="D22" s="10" t="s">
        <v>51</v>
      </c>
      <c r="E22" s="165" t="e">
        <f>'Uncorrected Area Counts'!G22/'Uncorrected Area Counts'!F22*'Plate Planning'!$M$17/'Plate Planning'!$P$18/'Plate Planning'!$M$18*100</f>
        <v>#DIV/0!</v>
      </c>
      <c r="F22" s="165" t="e">
        <f>'Uncorrected Area Counts'!H22/'Uncorrected Area Counts'!F22*'Plate Planning'!$M$17/'Plate Planning'!$P$19/'Plate Planning'!$M$19*100</f>
        <v>#DIV/0!</v>
      </c>
      <c r="G22" s="165" t="e">
        <f>'Uncorrected Area Counts'!I22/'Uncorrected Area Counts'!F22*'Plate Planning'!$M$17/'Plate Planning'!$P$20/'Plate Planning'!$M$20*100</f>
        <v>#DIV/0!</v>
      </c>
      <c r="H22" s="165" t="e">
        <f>'Uncorrected Area Counts'!J22/'Uncorrected Area Counts'!F22*'Plate Planning'!$M$17/'Plate Planning'!$P$21/'Plate Planning'!$M$21*100</f>
        <v>#DIV/0!</v>
      </c>
      <c r="I22" s="165" t="e">
        <f>'Uncorrected Area Counts'!K22/'Uncorrected Area Counts'!F22*'Plate Planning'!$M$17/'Plate Planning'!$P$22/'Plate Planning'!$M$22*100</f>
        <v>#DIV/0!</v>
      </c>
      <c r="J22" s="165" t="e">
        <f>'Uncorrected Area Counts'!L22/'Uncorrected Area Counts'!F22*'Plate Planning'!$M$17/'Plate Planning'!$P$23/'Plate Planning'!$M$23*100</f>
        <v>#DIV/0!</v>
      </c>
      <c r="K22" s="165" t="e">
        <f>'Uncorrected Area Counts'!M22/'Uncorrected Area Counts'!F22*'Plate Planning'!$M$17/'Plate Planning'!$P$24/'Plate Planning'!$M$24*100</f>
        <v>#DIV/0!</v>
      </c>
      <c r="L22" s="315"/>
      <c r="M22" s="315"/>
      <c r="N22" s="315"/>
      <c r="O22" s="315"/>
      <c r="P22" s="315"/>
      <c r="Q22" s="315"/>
      <c r="R22" s="315"/>
      <c r="S22" s="315"/>
    </row>
    <row r="23" spans="1:19">
      <c r="A23" s="11">
        <v>20</v>
      </c>
      <c r="B23" s="1">
        <v>8</v>
      </c>
      <c r="C23" s="1">
        <v>2</v>
      </c>
      <c r="D23" s="10" t="s">
        <v>51</v>
      </c>
      <c r="E23" s="165" t="e">
        <f>'Uncorrected Area Counts'!G23/'Uncorrected Area Counts'!F23*'Plate Planning'!$M$17/'Plate Planning'!$P$18/'Plate Planning'!$M$18*100</f>
        <v>#DIV/0!</v>
      </c>
      <c r="F23" s="165" t="e">
        <f>'Uncorrected Area Counts'!H23/'Uncorrected Area Counts'!F23*'Plate Planning'!$M$17/'Plate Planning'!$P$19/'Plate Planning'!$M$19*100</f>
        <v>#DIV/0!</v>
      </c>
      <c r="G23" s="165" t="e">
        <f>'Uncorrected Area Counts'!I23/'Uncorrected Area Counts'!F23*'Plate Planning'!$M$17/'Plate Planning'!$P$20/'Plate Planning'!$M$20*100</f>
        <v>#DIV/0!</v>
      </c>
      <c r="H23" s="165" t="e">
        <f>'Uncorrected Area Counts'!J23/'Uncorrected Area Counts'!F23*'Plate Planning'!$M$17/'Plate Planning'!$P$21/'Plate Planning'!$M$21*100</f>
        <v>#DIV/0!</v>
      </c>
      <c r="I23" s="165" t="e">
        <f>'Uncorrected Area Counts'!K23/'Uncorrected Area Counts'!F23*'Plate Planning'!$M$17/'Plate Planning'!$P$22/'Plate Planning'!$M$22*100</f>
        <v>#DIV/0!</v>
      </c>
      <c r="J23" s="165" t="e">
        <f>'Uncorrected Area Counts'!L23/'Uncorrected Area Counts'!F23*'Plate Planning'!$M$17/'Plate Planning'!$P$23/'Plate Planning'!$M$23*100</f>
        <v>#DIV/0!</v>
      </c>
      <c r="K23" s="165" t="e">
        <f>'Uncorrected Area Counts'!M23/'Uncorrected Area Counts'!F23*'Plate Planning'!$M$17/'Plate Planning'!$P$24/'Plate Planning'!$M$24*100</f>
        <v>#DIV/0!</v>
      </c>
      <c r="L23" s="315"/>
      <c r="M23" s="315"/>
      <c r="N23" s="315"/>
      <c r="O23" s="315"/>
      <c r="P23" s="315"/>
      <c r="Q23" s="315"/>
      <c r="R23" s="315"/>
      <c r="S23" s="315"/>
    </row>
    <row r="24" spans="1:19">
      <c r="A24" s="11">
        <v>21</v>
      </c>
      <c r="B24" s="1">
        <v>9</v>
      </c>
      <c r="C24" s="1">
        <v>2</v>
      </c>
      <c r="D24" s="10" t="s">
        <v>51</v>
      </c>
      <c r="E24" s="165" t="e">
        <f>'Uncorrected Area Counts'!G24/'Uncorrected Area Counts'!F24*'Plate Planning'!$M$17/'Plate Planning'!$P$18/'Plate Planning'!$M$18*100</f>
        <v>#DIV/0!</v>
      </c>
      <c r="F24" s="165" t="e">
        <f>'Uncorrected Area Counts'!H24/'Uncorrected Area Counts'!F24*'Plate Planning'!$M$17/'Plate Planning'!$P$19/'Plate Planning'!$M$19*100</f>
        <v>#DIV/0!</v>
      </c>
      <c r="G24" s="165" t="e">
        <f>'Uncorrected Area Counts'!I24/'Uncorrected Area Counts'!F24*'Plate Planning'!$M$17/'Plate Planning'!$P$20/'Plate Planning'!$M$20*100</f>
        <v>#DIV/0!</v>
      </c>
      <c r="H24" s="165" t="e">
        <f>'Uncorrected Area Counts'!J24/'Uncorrected Area Counts'!F24*'Plate Planning'!$M$17/'Plate Planning'!$P$21/'Plate Planning'!$M$21*100</f>
        <v>#DIV/0!</v>
      </c>
      <c r="I24" s="165" t="e">
        <f>'Uncorrected Area Counts'!K24/'Uncorrected Area Counts'!F24*'Plate Planning'!$M$17/'Plate Planning'!$P$22/'Plate Planning'!$M$22*100</f>
        <v>#DIV/0!</v>
      </c>
      <c r="J24" s="165" t="e">
        <f>'Uncorrected Area Counts'!L24/'Uncorrected Area Counts'!F24*'Plate Planning'!$M$17/'Plate Planning'!$P$23/'Plate Planning'!$M$23*100</f>
        <v>#DIV/0!</v>
      </c>
      <c r="K24" s="165" t="e">
        <f>'Uncorrected Area Counts'!M24/'Uncorrected Area Counts'!F24*'Plate Planning'!$M$17/'Plate Planning'!$P$24/'Plate Planning'!$M$24*100</f>
        <v>#DIV/0!</v>
      </c>
      <c r="L24" s="315"/>
      <c r="M24" s="315"/>
      <c r="N24" s="315"/>
      <c r="O24" s="315"/>
      <c r="P24" s="315"/>
      <c r="Q24" s="315"/>
      <c r="R24" s="315"/>
      <c r="S24" s="315"/>
    </row>
    <row r="25" spans="1:19">
      <c r="A25" s="11">
        <v>22</v>
      </c>
      <c r="B25" s="1">
        <v>10</v>
      </c>
      <c r="C25" s="1">
        <v>2</v>
      </c>
      <c r="D25" s="10" t="s">
        <v>51</v>
      </c>
      <c r="E25" s="165" t="e">
        <f>'Uncorrected Area Counts'!G25/'Uncorrected Area Counts'!F25*'Plate Planning'!$M$17/'Plate Planning'!$P$18/'Plate Planning'!$M$18*100</f>
        <v>#DIV/0!</v>
      </c>
      <c r="F25" s="165" t="e">
        <f>'Uncorrected Area Counts'!H25/'Uncorrected Area Counts'!F25*'Plate Planning'!$M$17/'Plate Planning'!$P$19/'Plate Planning'!$M$19*100</f>
        <v>#DIV/0!</v>
      </c>
      <c r="G25" s="165" t="e">
        <f>'Uncorrected Area Counts'!I25/'Uncorrected Area Counts'!F25*'Plate Planning'!$M$17/'Plate Planning'!$P$20/'Plate Planning'!$M$20*100</f>
        <v>#DIV/0!</v>
      </c>
      <c r="H25" s="165" t="e">
        <f>'Uncorrected Area Counts'!J25/'Uncorrected Area Counts'!F25*'Plate Planning'!$M$17/'Plate Planning'!$P$21/'Plate Planning'!$M$21*100</f>
        <v>#DIV/0!</v>
      </c>
      <c r="I25" s="165" t="e">
        <f>'Uncorrected Area Counts'!K25/'Uncorrected Area Counts'!F25*'Plate Planning'!$M$17/'Plate Planning'!$P$22/'Plate Planning'!$M$22*100</f>
        <v>#DIV/0!</v>
      </c>
      <c r="J25" s="165" t="e">
        <f>'Uncorrected Area Counts'!L25/'Uncorrected Area Counts'!F25*'Plate Planning'!$M$17/'Plate Planning'!$P$23/'Plate Planning'!$M$23*100</f>
        <v>#DIV/0!</v>
      </c>
      <c r="K25" s="165" t="e">
        <f>'Uncorrected Area Counts'!M25/'Uncorrected Area Counts'!F25*'Plate Planning'!$M$17/'Plate Planning'!$P$24/'Plate Planning'!$M$24*100</f>
        <v>#DIV/0!</v>
      </c>
      <c r="L25" s="315"/>
      <c r="M25" s="315"/>
      <c r="N25" s="315"/>
      <c r="O25" s="315"/>
      <c r="P25" s="315"/>
      <c r="Q25" s="315"/>
      <c r="R25" s="315"/>
      <c r="S25" s="315"/>
    </row>
    <row r="26" spans="1:19">
      <c r="A26" s="11">
        <v>23</v>
      </c>
      <c r="B26" s="1">
        <v>11</v>
      </c>
      <c r="C26" s="1">
        <v>2</v>
      </c>
      <c r="D26" s="10" t="s">
        <v>51</v>
      </c>
      <c r="E26" s="165" t="e">
        <f>'Uncorrected Area Counts'!G26/'Uncorrected Area Counts'!F26*'Plate Planning'!$M$17/'Plate Planning'!$P$18/'Plate Planning'!$M$18*100</f>
        <v>#DIV/0!</v>
      </c>
      <c r="F26" s="165" t="e">
        <f>'Uncorrected Area Counts'!H26/'Uncorrected Area Counts'!F26*'Plate Planning'!$M$17/'Plate Planning'!$P$19/'Plate Planning'!$M$19*100</f>
        <v>#DIV/0!</v>
      </c>
      <c r="G26" s="165" t="e">
        <f>'Uncorrected Area Counts'!I26/'Uncorrected Area Counts'!F26*'Plate Planning'!$M$17/'Plate Planning'!$P$20/'Plate Planning'!$M$20*100</f>
        <v>#DIV/0!</v>
      </c>
      <c r="H26" s="165" t="e">
        <f>'Uncorrected Area Counts'!J26/'Uncorrected Area Counts'!F26*'Plate Planning'!$M$17/'Plate Planning'!$P$21/'Plate Planning'!$M$21*100</f>
        <v>#DIV/0!</v>
      </c>
      <c r="I26" s="165" t="e">
        <f>'Uncorrected Area Counts'!K26/'Uncorrected Area Counts'!F26*'Plate Planning'!$M$17/'Plate Planning'!$P$22/'Plate Planning'!$M$22*100</f>
        <v>#DIV/0!</v>
      </c>
      <c r="J26" s="165" t="e">
        <f>'Uncorrected Area Counts'!L26/'Uncorrected Area Counts'!F26*'Plate Planning'!$M$17/'Plate Planning'!$P$23/'Plate Planning'!$M$23*100</f>
        <v>#DIV/0!</v>
      </c>
      <c r="K26" s="165" t="e">
        <f>'Uncorrected Area Counts'!M26/'Uncorrected Area Counts'!F26*'Plate Planning'!$M$17/'Plate Planning'!$P$24/'Plate Planning'!$M$24*100</f>
        <v>#DIV/0!</v>
      </c>
      <c r="L26" s="315"/>
      <c r="M26" s="315"/>
      <c r="N26" s="315"/>
      <c r="O26" s="315"/>
      <c r="P26" s="315"/>
      <c r="Q26" s="315"/>
      <c r="R26" s="315"/>
      <c r="S26" s="315"/>
    </row>
    <row r="27" spans="1:19">
      <c r="A27" s="11">
        <v>24</v>
      </c>
      <c r="B27" s="1">
        <v>12</v>
      </c>
      <c r="C27" s="1">
        <v>2</v>
      </c>
      <c r="D27" s="10" t="s">
        <v>51</v>
      </c>
      <c r="E27" s="165" t="e">
        <f>'Uncorrected Area Counts'!G27/'Uncorrected Area Counts'!F27*'Plate Planning'!$M$17/'Plate Planning'!$P$18/'Plate Planning'!$M$18*100</f>
        <v>#DIV/0!</v>
      </c>
      <c r="F27" s="165" t="e">
        <f>'Uncorrected Area Counts'!H27/'Uncorrected Area Counts'!F27*'Plate Planning'!$M$17/'Plate Planning'!$P$19/'Plate Planning'!$M$19*100</f>
        <v>#DIV/0!</v>
      </c>
      <c r="G27" s="165" t="e">
        <f>'Uncorrected Area Counts'!I27/'Uncorrected Area Counts'!F27*'Plate Planning'!$M$17/'Plate Planning'!$P$20/'Plate Planning'!$M$20*100</f>
        <v>#DIV/0!</v>
      </c>
      <c r="H27" s="165" t="e">
        <f>'Uncorrected Area Counts'!J27/'Uncorrected Area Counts'!F27*'Plate Planning'!$M$17/'Plate Planning'!$P$21/'Plate Planning'!$M$21*100</f>
        <v>#DIV/0!</v>
      </c>
      <c r="I27" s="165" t="e">
        <f>'Uncorrected Area Counts'!K27/'Uncorrected Area Counts'!F27*'Plate Planning'!$M$17/'Plate Planning'!$P$22/'Plate Planning'!$M$22*100</f>
        <v>#DIV/0!</v>
      </c>
      <c r="J27" s="165" t="e">
        <f>'Uncorrected Area Counts'!L27/'Uncorrected Area Counts'!F27*'Plate Planning'!$M$17/'Plate Planning'!$P$23/'Plate Planning'!$M$23*100</f>
        <v>#DIV/0!</v>
      </c>
      <c r="K27" s="165" t="e">
        <f>'Uncorrected Area Counts'!M27/'Uncorrected Area Counts'!F27*'Plate Planning'!$M$17/'Plate Planning'!$P$24/'Plate Planning'!$M$24*100</f>
        <v>#DIV/0!</v>
      </c>
      <c r="L27" s="315"/>
      <c r="M27" s="315"/>
      <c r="N27" s="315"/>
      <c r="O27" s="315"/>
      <c r="P27" s="315"/>
      <c r="Q27" s="315"/>
      <c r="R27" s="315"/>
      <c r="S27" s="315"/>
    </row>
    <row r="28" spans="1:19">
      <c r="A28" s="11">
        <v>25</v>
      </c>
      <c r="B28" s="1">
        <v>1</v>
      </c>
      <c r="C28" s="1">
        <v>3</v>
      </c>
      <c r="D28" s="10" t="s">
        <v>51</v>
      </c>
      <c r="E28" s="165" t="e">
        <f>'Uncorrected Area Counts'!G28/'Uncorrected Area Counts'!F28*'Plate Planning'!$M$17/'Plate Planning'!$P$18/'Plate Planning'!$M$18*100</f>
        <v>#DIV/0!</v>
      </c>
      <c r="F28" s="165" t="e">
        <f>'Uncorrected Area Counts'!H28/'Uncorrected Area Counts'!F28*'Plate Planning'!$M$17/'Plate Planning'!$P$19/'Plate Planning'!$M$19*100</f>
        <v>#DIV/0!</v>
      </c>
      <c r="G28" s="165" t="e">
        <f>'Uncorrected Area Counts'!I28/'Uncorrected Area Counts'!F28*'Plate Planning'!$M$17/'Plate Planning'!$P$20/'Plate Planning'!$M$20*100</f>
        <v>#DIV/0!</v>
      </c>
      <c r="H28" s="165" t="e">
        <f>'Uncorrected Area Counts'!J28/'Uncorrected Area Counts'!F28*'Plate Planning'!$M$17/'Plate Planning'!$P$21/'Plate Planning'!$M$21*100</f>
        <v>#DIV/0!</v>
      </c>
      <c r="I28" s="165" t="e">
        <f>'Uncorrected Area Counts'!K28/'Uncorrected Area Counts'!F28*'Plate Planning'!$M$17/'Plate Planning'!$P$22/'Plate Planning'!$M$22*100</f>
        <v>#DIV/0!</v>
      </c>
      <c r="J28" s="165" t="e">
        <f>'Uncorrected Area Counts'!L28/'Uncorrected Area Counts'!F28*'Plate Planning'!$M$17/'Plate Planning'!$P$23/'Plate Planning'!$M$23*100</f>
        <v>#DIV/0!</v>
      </c>
      <c r="K28" s="165" t="e">
        <f>'Uncorrected Area Counts'!M28/'Uncorrected Area Counts'!F28*'Plate Planning'!$M$17/'Plate Planning'!$P$24/'Plate Planning'!$M$24*100</f>
        <v>#DIV/0!</v>
      </c>
      <c r="L28" s="315"/>
      <c r="M28" s="315"/>
      <c r="N28" s="315"/>
      <c r="O28" s="315"/>
      <c r="P28" s="315"/>
      <c r="Q28" s="315"/>
      <c r="R28" s="315"/>
      <c r="S28" s="315"/>
    </row>
    <row r="29" spans="1:19">
      <c r="A29" s="11">
        <v>26</v>
      </c>
      <c r="B29" s="1">
        <v>2</v>
      </c>
      <c r="C29" s="1">
        <v>3</v>
      </c>
      <c r="D29" s="10" t="s">
        <v>51</v>
      </c>
      <c r="E29" s="165" t="e">
        <f>'Uncorrected Area Counts'!G29/'Uncorrected Area Counts'!F29*'Plate Planning'!$M$17/'Plate Planning'!$P$18/'Plate Planning'!$M$18*100</f>
        <v>#DIV/0!</v>
      </c>
      <c r="F29" s="165" t="e">
        <f>'Uncorrected Area Counts'!H29/'Uncorrected Area Counts'!F29*'Plate Planning'!$M$17/'Plate Planning'!$P$19/'Plate Planning'!$M$19*100</f>
        <v>#DIV/0!</v>
      </c>
      <c r="G29" s="165" t="e">
        <f>'Uncorrected Area Counts'!I29/'Uncorrected Area Counts'!F29*'Plate Planning'!$M$17/'Plate Planning'!$P$20/'Plate Planning'!$M$20*100</f>
        <v>#DIV/0!</v>
      </c>
      <c r="H29" s="165" t="e">
        <f>'Uncorrected Area Counts'!J29/'Uncorrected Area Counts'!F29*'Plate Planning'!$M$17/'Plate Planning'!$P$21/'Plate Planning'!$M$21*100</f>
        <v>#DIV/0!</v>
      </c>
      <c r="I29" s="165" t="e">
        <f>'Uncorrected Area Counts'!K29/'Uncorrected Area Counts'!F29*'Plate Planning'!$M$17/'Plate Planning'!$P$22/'Plate Planning'!$M$22*100</f>
        <v>#DIV/0!</v>
      </c>
      <c r="J29" s="165" t="e">
        <f>'Uncorrected Area Counts'!L29/'Uncorrected Area Counts'!F29*'Plate Planning'!$M$17/'Plate Planning'!$P$23/'Plate Planning'!$M$23*100</f>
        <v>#DIV/0!</v>
      </c>
      <c r="K29" s="165" t="e">
        <f>'Uncorrected Area Counts'!M29/'Uncorrected Area Counts'!F29*'Plate Planning'!$M$17/'Plate Planning'!$P$24/'Plate Planning'!$M$24*100</f>
        <v>#DIV/0!</v>
      </c>
      <c r="L29" s="315"/>
      <c r="M29" s="315"/>
      <c r="N29" s="315"/>
      <c r="O29" s="315"/>
      <c r="P29" s="315"/>
      <c r="Q29" s="315"/>
      <c r="R29" s="315"/>
      <c r="S29" s="315"/>
    </row>
    <row r="30" spans="1:19">
      <c r="A30" s="11">
        <v>27</v>
      </c>
      <c r="B30" s="1">
        <v>3</v>
      </c>
      <c r="C30" s="1">
        <v>3</v>
      </c>
      <c r="D30" s="10" t="s">
        <v>51</v>
      </c>
      <c r="E30" s="165" t="e">
        <f>'Uncorrected Area Counts'!G30/'Uncorrected Area Counts'!F30*'Plate Planning'!$M$17/'Plate Planning'!$P$18/'Plate Planning'!$M$18*100</f>
        <v>#DIV/0!</v>
      </c>
      <c r="F30" s="165" t="e">
        <f>'Uncorrected Area Counts'!H30/'Uncorrected Area Counts'!F30*'Plate Planning'!$M$17/'Plate Planning'!$P$19/'Plate Planning'!$M$19*100</f>
        <v>#DIV/0!</v>
      </c>
      <c r="G30" s="165" t="e">
        <f>'Uncorrected Area Counts'!I30/'Uncorrected Area Counts'!F30*'Plate Planning'!$M$17/'Plate Planning'!$P$20/'Plate Planning'!$M$20*100</f>
        <v>#DIV/0!</v>
      </c>
      <c r="H30" s="165" t="e">
        <f>'Uncorrected Area Counts'!J30/'Uncorrected Area Counts'!F30*'Plate Planning'!$M$17/'Plate Planning'!$P$21/'Plate Planning'!$M$21*100</f>
        <v>#DIV/0!</v>
      </c>
      <c r="I30" s="165" t="e">
        <f>'Uncorrected Area Counts'!K30/'Uncorrected Area Counts'!F30*'Plate Planning'!$M$17/'Plate Planning'!$P$22/'Plate Planning'!$M$22*100</f>
        <v>#DIV/0!</v>
      </c>
      <c r="J30" s="165" t="e">
        <f>'Uncorrected Area Counts'!L30/'Uncorrected Area Counts'!F30*'Plate Planning'!$M$17/'Plate Planning'!$P$23/'Plate Planning'!$M$23*100</f>
        <v>#DIV/0!</v>
      </c>
      <c r="K30" s="165" t="e">
        <f>'Uncorrected Area Counts'!M30/'Uncorrected Area Counts'!F30*'Plate Planning'!$M$17/'Plate Planning'!$P$24/'Plate Planning'!$M$24*100</f>
        <v>#DIV/0!</v>
      </c>
      <c r="L30" s="315"/>
      <c r="M30" s="315"/>
      <c r="N30" s="315"/>
      <c r="O30" s="315"/>
      <c r="P30" s="315"/>
      <c r="Q30" s="315"/>
      <c r="R30" s="315"/>
      <c r="S30" s="315"/>
    </row>
    <row r="31" spans="1:19">
      <c r="A31" s="11">
        <v>28</v>
      </c>
      <c r="B31" s="1">
        <v>4</v>
      </c>
      <c r="C31" s="1">
        <v>3</v>
      </c>
      <c r="D31" s="10" t="s">
        <v>51</v>
      </c>
      <c r="E31" s="165" t="e">
        <f>'Uncorrected Area Counts'!G31/'Uncorrected Area Counts'!F31*'Plate Planning'!$M$17/'Plate Planning'!$P$18/'Plate Planning'!$M$18*100</f>
        <v>#DIV/0!</v>
      </c>
      <c r="F31" s="165" t="e">
        <f>'Uncorrected Area Counts'!H31/'Uncorrected Area Counts'!F31*'Plate Planning'!$M$17/'Plate Planning'!$P$19/'Plate Planning'!$M$19*100</f>
        <v>#DIV/0!</v>
      </c>
      <c r="G31" s="165" t="e">
        <f>'Uncorrected Area Counts'!I31/'Uncorrected Area Counts'!F31*'Plate Planning'!$M$17/'Plate Planning'!$P$20/'Plate Planning'!$M$20*100</f>
        <v>#DIV/0!</v>
      </c>
      <c r="H31" s="165" t="e">
        <f>'Uncorrected Area Counts'!J31/'Uncorrected Area Counts'!F31*'Plate Planning'!$M$17/'Plate Planning'!$P$21/'Plate Planning'!$M$21*100</f>
        <v>#DIV/0!</v>
      </c>
      <c r="I31" s="165" t="e">
        <f>'Uncorrected Area Counts'!K31/'Uncorrected Area Counts'!F31*'Plate Planning'!$M$17/'Plate Planning'!$P$22/'Plate Planning'!$M$22*100</f>
        <v>#DIV/0!</v>
      </c>
      <c r="J31" s="165" t="e">
        <f>'Uncorrected Area Counts'!L31/'Uncorrected Area Counts'!F31*'Plate Planning'!$M$17/'Plate Planning'!$P$23/'Plate Planning'!$M$23*100</f>
        <v>#DIV/0!</v>
      </c>
      <c r="K31" s="165" t="e">
        <f>'Uncorrected Area Counts'!M31/'Uncorrected Area Counts'!F31*'Plate Planning'!$M$17/'Plate Planning'!$P$24/'Plate Planning'!$M$24*100</f>
        <v>#DIV/0!</v>
      </c>
      <c r="L31" s="315"/>
      <c r="M31" s="315"/>
      <c r="N31" s="315"/>
      <c r="O31" s="315"/>
      <c r="P31" s="315"/>
      <c r="Q31" s="315"/>
      <c r="R31" s="315"/>
      <c r="S31" s="315"/>
    </row>
    <row r="32" spans="1:19">
      <c r="A32" s="11">
        <v>29</v>
      </c>
      <c r="B32" s="1">
        <v>5</v>
      </c>
      <c r="C32" s="1">
        <v>3</v>
      </c>
      <c r="D32" s="10" t="s">
        <v>51</v>
      </c>
      <c r="E32" s="165" t="e">
        <f>'Uncorrected Area Counts'!G32/'Uncorrected Area Counts'!F32*'Plate Planning'!$M$17/'Plate Planning'!$P$18/'Plate Planning'!$M$18*100</f>
        <v>#DIV/0!</v>
      </c>
      <c r="F32" s="165" t="e">
        <f>'Uncorrected Area Counts'!H32/'Uncorrected Area Counts'!F32*'Plate Planning'!$M$17/'Plate Planning'!$P$19/'Plate Planning'!$M$19*100</f>
        <v>#DIV/0!</v>
      </c>
      <c r="G32" s="165" t="e">
        <f>'Uncorrected Area Counts'!I32/'Uncorrected Area Counts'!F32*'Plate Planning'!$M$17/'Plate Planning'!$P$20/'Plate Planning'!$M$20*100</f>
        <v>#DIV/0!</v>
      </c>
      <c r="H32" s="165" t="e">
        <f>'Uncorrected Area Counts'!J32/'Uncorrected Area Counts'!F32*'Plate Planning'!$M$17/'Plate Planning'!$P$21/'Plate Planning'!$M$21*100</f>
        <v>#DIV/0!</v>
      </c>
      <c r="I32" s="165" t="e">
        <f>'Uncorrected Area Counts'!K32/'Uncorrected Area Counts'!F32*'Plate Planning'!$M$17/'Plate Planning'!$P$22/'Plate Planning'!$M$22*100</f>
        <v>#DIV/0!</v>
      </c>
      <c r="J32" s="165" t="e">
        <f>'Uncorrected Area Counts'!L32/'Uncorrected Area Counts'!F32*'Plate Planning'!$M$17/'Plate Planning'!$P$23/'Plate Planning'!$M$23*100</f>
        <v>#DIV/0!</v>
      </c>
      <c r="K32" s="165" t="e">
        <f>'Uncorrected Area Counts'!M32/'Uncorrected Area Counts'!F32*'Plate Planning'!$M$17/'Plate Planning'!$P$24/'Plate Planning'!$M$24*100</f>
        <v>#DIV/0!</v>
      </c>
      <c r="L32" s="315"/>
      <c r="M32" s="315"/>
      <c r="N32" s="315"/>
      <c r="O32" s="315"/>
      <c r="P32" s="315"/>
      <c r="Q32" s="315"/>
      <c r="R32" s="315"/>
      <c r="S32" s="315"/>
    </row>
    <row r="33" spans="1:19">
      <c r="A33" s="11">
        <v>30</v>
      </c>
      <c r="B33" s="1">
        <v>6</v>
      </c>
      <c r="C33" s="1">
        <v>3</v>
      </c>
      <c r="D33" s="10" t="s">
        <v>51</v>
      </c>
      <c r="E33" s="165" t="e">
        <f>'Uncorrected Area Counts'!G33/'Uncorrected Area Counts'!F33*'Plate Planning'!$M$17/'Plate Planning'!$P$18/'Plate Planning'!$M$18*100</f>
        <v>#DIV/0!</v>
      </c>
      <c r="F33" s="165" t="e">
        <f>'Uncorrected Area Counts'!H33/'Uncorrected Area Counts'!F33*'Plate Planning'!$M$17/'Plate Planning'!$P$19/'Plate Planning'!$M$19*100</f>
        <v>#DIV/0!</v>
      </c>
      <c r="G33" s="165" t="e">
        <f>'Uncorrected Area Counts'!I33/'Uncorrected Area Counts'!F33*'Plate Planning'!$M$17/'Plate Planning'!$P$20/'Plate Planning'!$M$20*100</f>
        <v>#DIV/0!</v>
      </c>
      <c r="H33" s="165" t="e">
        <f>'Uncorrected Area Counts'!J33/'Uncorrected Area Counts'!F33*'Plate Planning'!$M$17/'Plate Planning'!$P$21/'Plate Planning'!$M$21*100</f>
        <v>#DIV/0!</v>
      </c>
      <c r="I33" s="165" t="e">
        <f>'Uncorrected Area Counts'!K33/'Uncorrected Area Counts'!F33*'Plate Planning'!$M$17/'Plate Planning'!$P$22/'Plate Planning'!$M$22*100</f>
        <v>#DIV/0!</v>
      </c>
      <c r="J33" s="165" t="e">
        <f>'Uncorrected Area Counts'!L33/'Uncorrected Area Counts'!F33*'Plate Planning'!$M$17/'Plate Planning'!$P$23/'Plate Planning'!$M$23*100</f>
        <v>#DIV/0!</v>
      </c>
      <c r="K33" s="165" t="e">
        <f>'Uncorrected Area Counts'!M33/'Uncorrected Area Counts'!F33*'Plate Planning'!$M$17/'Plate Planning'!$P$24/'Plate Planning'!$M$24*100</f>
        <v>#DIV/0!</v>
      </c>
      <c r="L33" s="315"/>
      <c r="M33" s="315"/>
      <c r="N33" s="315"/>
      <c r="O33" s="315"/>
      <c r="P33" s="315"/>
      <c r="Q33" s="315"/>
      <c r="R33" s="315"/>
      <c r="S33" s="315"/>
    </row>
    <row r="34" spans="1:19">
      <c r="A34" s="11">
        <v>31</v>
      </c>
      <c r="B34" s="1">
        <v>7</v>
      </c>
      <c r="C34" s="1">
        <v>3</v>
      </c>
      <c r="D34" s="10" t="s">
        <v>51</v>
      </c>
      <c r="E34" s="165" t="e">
        <f>'Uncorrected Area Counts'!G34/'Uncorrected Area Counts'!F34*'Plate Planning'!$M$17/'Plate Planning'!$P$18/'Plate Planning'!$M$18*100</f>
        <v>#DIV/0!</v>
      </c>
      <c r="F34" s="165" t="e">
        <f>'Uncorrected Area Counts'!H34/'Uncorrected Area Counts'!F34*'Plate Planning'!$M$17/'Plate Planning'!$P$19/'Plate Planning'!$M$19*100</f>
        <v>#DIV/0!</v>
      </c>
      <c r="G34" s="165" t="e">
        <f>'Uncorrected Area Counts'!I34/'Uncorrected Area Counts'!F34*'Plate Planning'!$M$17/'Plate Planning'!$P$20/'Plate Planning'!$M$20*100</f>
        <v>#DIV/0!</v>
      </c>
      <c r="H34" s="165" t="e">
        <f>'Uncorrected Area Counts'!J34/'Uncorrected Area Counts'!F34*'Plate Planning'!$M$17/'Plate Planning'!$P$21/'Plate Planning'!$M$21*100</f>
        <v>#DIV/0!</v>
      </c>
      <c r="I34" s="165" t="e">
        <f>'Uncorrected Area Counts'!K34/'Uncorrected Area Counts'!F34*'Plate Planning'!$M$17/'Plate Planning'!$P$22/'Plate Planning'!$M$22*100</f>
        <v>#DIV/0!</v>
      </c>
      <c r="J34" s="165" t="e">
        <f>'Uncorrected Area Counts'!L34/'Uncorrected Area Counts'!F34*'Plate Planning'!$M$17/'Plate Planning'!$P$23/'Plate Planning'!$M$23*100</f>
        <v>#DIV/0!</v>
      </c>
      <c r="K34" s="165" t="e">
        <f>'Uncorrected Area Counts'!M34/'Uncorrected Area Counts'!F34*'Plate Planning'!$M$17/'Plate Planning'!$P$24/'Plate Planning'!$M$24*100</f>
        <v>#DIV/0!</v>
      </c>
      <c r="L34" s="315"/>
      <c r="M34" s="315"/>
      <c r="N34" s="315"/>
      <c r="O34" s="315"/>
      <c r="P34" s="315"/>
      <c r="Q34" s="315"/>
      <c r="R34" s="315"/>
      <c r="S34" s="315"/>
    </row>
    <row r="35" spans="1:19">
      <c r="A35" s="11">
        <v>32</v>
      </c>
      <c r="B35" s="1">
        <v>8</v>
      </c>
      <c r="C35" s="1">
        <v>3</v>
      </c>
      <c r="D35" s="10" t="s">
        <v>51</v>
      </c>
      <c r="E35" s="165" t="e">
        <f>'Uncorrected Area Counts'!G35/'Uncorrected Area Counts'!F35*'Plate Planning'!$M$17/'Plate Planning'!$P$18/'Plate Planning'!$M$18*100</f>
        <v>#DIV/0!</v>
      </c>
      <c r="F35" s="165" t="e">
        <f>'Uncorrected Area Counts'!H35/'Uncorrected Area Counts'!F35*'Plate Planning'!$M$17/'Plate Planning'!$P$19/'Plate Planning'!$M$19*100</f>
        <v>#DIV/0!</v>
      </c>
      <c r="G35" s="165" t="e">
        <f>'Uncorrected Area Counts'!I35/'Uncorrected Area Counts'!F35*'Plate Planning'!$M$17/'Plate Planning'!$P$20/'Plate Planning'!$M$20*100</f>
        <v>#DIV/0!</v>
      </c>
      <c r="H35" s="165" t="e">
        <f>'Uncorrected Area Counts'!J35/'Uncorrected Area Counts'!F35*'Plate Planning'!$M$17/'Plate Planning'!$P$21/'Plate Planning'!$M$21*100</f>
        <v>#DIV/0!</v>
      </c>
      <c r="I35" s="165" t="e">
        <f>'Uncorrected Area Counts'!K35/'Uncorrected Area Counts'!F35*'Plate Planning'!$M$17/'Plate Planning'!$P$22/'Plate Planning'!$M$22*100</f>
        <v>#DIV/0!</v>
      </c>
      <c r="J35" s="165" t="e">
        <f>'Uncorrected Area Counts'!L35/'Uncorrected Area Counts'!F35*'Plate Planning'!$M$17/'Plate Planning'!$P$23/'Plate Planning'!$M$23*100</f>
        <v>#DIV/0!</v>
      </c>
      <c r="K35" s="165" t="e">
        <f>'Uncorrected Area Counts'!M35/'Uncorrected Area Counts'!F35*'Plate Planning'!$M$17/'Plate Planning'!$P$24/'Plate Planning'!$M$24*100</f>
        <v>#DIV/0!</v>
      </c>
      <c r="L35" s="315"/>
      <c r="M35" s="315"/>
      <c r="N35" s="315"/>
      <c r="O35" s="315"/>
      <c r="P35" s="315"/>
      <c r="Q35" s="315"/>
      <c r="R35" s="315"/>
      <c r="S35" s="315"/>
    </row>
    <row r="36" spans="1:19">
      <c r="A36" s="11">
        <v>33</v>
      </c>
      <c r="B36" s="1">
        <v>9</v>
      </c>
      <c r="C36" s="1">
        <v>3</v>
      </c>
      <c r="D36" s="10" t="s">
        <v>51</v>
      </c>
      <c r="E36" s="165" t="e">
        <f>'Uncorrected Area Counts'!G36/'Uncorrected Area Counts'!F36*'Plate Planning'!$M$17/'Plate Planning'!$P$18/'Plate Planning'!$M$18*100</f>
        <v>#DIV/0!</v>
      </c>
      <c r="F36" s="165" t="e">
        <f>'Uncorrected Area Counts'!H36/'Uncorrected Area Counts'!F36*'Plate Planning'!$M$17/'Plate Planning'!$P$19/'Plate Planning'!$M$19*100</f>
        <v>#DIV/0!</v>
      </c>
      <c r="G36" s="165" t="e">
        <f>'Uncorrected Area Counts'!I36/'Uncorrected Area Counts'!F36*'Plate Planning'!$M$17/'Plate Planning'!$P$20/'Plate Planning'!$M$20*100</f>
        <v>#DIV/0!</v>
      </c>
      <c r="H36" s="165" t="e">
        <f>'Uncorrected Area Counts'!J36/'Uncorrected Area Counts'!F36*'Plate Planning'!$M$17/'Plate Planning'!$P$21/'Plate Planning'!$M$21*100</f>
        <v>#DIV/0!</v>
      </c>
      <c r="I36" s="165" t="e">
        <f>'Uncorrected Area Counts'!K36/'Uncorrected Area Counts'!F36*'Plate Planning'!$M$17/'Plate Planning'!$P$22/'Plate Planning'!$M$22*100</f>
        <v>#DIV/0!</v>
      </c>
      <c r="J36" s="165" t="e">
        <f>'Uncorrected Area Counts'!L36/'Uncorrected Area Counts'!F36*'Plate Planning'!$M$17/'Plate Planning'!$P$23/'Plate Planning'!$M$23*100</f>
        <v>#DIV/0!</v>
      </c>
      <c r="K36" s="165" t="e">
        <f>'Uncorrected Area Counts'!M36/'Uncorrected Area Counts'!F36*'Plate Planning'!$M$17/'Plate Planning'!$P$24/'Plate Planning'!$M$24*100</f>
        <v>#DIV/0!</v>
      </c>
      <c r="L36" s="315"/>
      <c r="M36" s="315"/>
      <c r="N36" s="315"/>
      <c r="O36" s="315"/>
      <c r="P36" s="315"/>
      <c r="Q36" s="315"/>
      <c r="R36" s="315"/>
      <c r="S36" s="315"/>
    </row>
    <row r="37" spans="1:19">
      <c r="A37" s="11">
        <v>34</v>
      </c>
      <c r="B37" s="1">
        <v>10</v>
      </c>
      <c r="C37" s="1">
        <v>3</v>
      </c>
      <c r="D37" s="10" t="s">
        <v>51</v>
      </c>
      <c r="E37" s="165" t="e">
        <f>'Uncorrected Area Counts'!G37/'Uncorrected Area Counts'!F37*'Plate Planning'!$M$17/'Plate Planning'!$P$18/'Plate Planning'!$M$18*100</f>
        <v>#DIV/0!</v>
      </c>
      <c r="F37" s="165" t="e">
        <f>'Uncorrected Area Counts'!H37/'Uncorrected Area Counts'!F37*'Plate Planning'!$M$17/'Plate Planning'!$P$19/'Plate Planning'!$M$19*100</f>
        <v>#DIV/0!</v>
      </c>
      <c r="G37" s="165" t="e">
        <f>'Uncorrected Area Counts'!I37/'Uncorrected Area Counts'!F37*'Plate Planning'!$M$17/'Plate Planning'!$P$20/'Plate Planning'!$M$20*100</f>
        <v>#DIV/0!</v>
      </c>
      <c r="H37" s="165" t="e">
        <f>'Uncorrected Area Counts'!J37/'Uncorrected Area Counts'!F37*'Plate Planning'!$M$17/'Plate Planning'!$P$21/'Plate Planning'!$M$21*100</f>
        <v>#DIV/0!</v>
      </c>
      <c r="I37" s="165" t="e">
        <f>'Uncorrected Area Counts'!K37/'Uncorrected Area Counts'!F37*'Plate Planning'!$M$17/'Plate Planning'!$P$22/'Plate Planning'!$M$22*100</f>
        <v>#DIV/0!</v>
      </c>
      <c r="J37" s="165" t="e">
        <f>'Uncorrected Area Counts'!L37/'Uncorrected Area Counts'!F37*'Plate Planning'!$M$17/'Plate Planning'!$P$23/'Plate Planning'!$M$23*100</f>
        <v>#DIV/0!</v>
      </c>
      <c r="K37" s="165" t="e">
        <f>'Uncorrected Area Counts'!M37/'Uncorrected Area Counts'!F37*'Plate Planning'!$M$17/'Plate Planning'!$P$24/'Plate Planning'!$M$24*100</f>
        <v>#DIV/0!</v>
      </c>
      <c r="L37" s="315"/>
      <c r="M37" s="315"/>
      <c r="N37" s="315"/>
      <c r="O37" s="315"/>
      <c r="P37" s="315"/>
      <c r="Q37" s="315"/>
      <c r="R37" s="315"/>
      <c r="S37" s="315"/>
    </row>
    <row r="38" spans="1:19">
      <c r="A38" s="11">
        <v>35</v>
      </c>
      <c r="B38" s="1">
        <v>11</v>
      </c>
      <c r="C38" s="1">
        <v>3</v>
      </c>
      <c r="D38" s="10" t="s">
        <v>51</v>
      </c>
      <c r="E38" s="165" t="e">
        <f>'Uncorrected Area Counts'!G38/'Uncorrected Area Counts'!F38*'Plate Planning'!$M$17/'Plate Planning'!$P$18/'Plate Planning'!$M$18*100</f>
        <v>#DIV/0!</v>
      </c>
      <c r="F38" s="165" t="e">
        <f>'Uncorrected Area Counts'!H38/'Uncorrected Area Counts'!F38*'Plate Planning'!$M$17/'Plate Planning'!$P$19/'Plate Planning'!$M$19*100</f>
        <v>#DIV/0!</v>
      </c>
      <c r="G38" s="165" t="e">
        <f>'Uncorrected Area Counts'!I38/'Uncorrected Area Counts'!F38*'Plate Planning'!$M$17/'Plate Planning'!$P$20/'Plate Planning'!$M$20*100</f>
        <v>#DIV/0!</v>
      </c>
      <c r="H38" s="165" t="e">
        <f>'Uncorrected Area Counts'!J38/'Uncorrected Area Counts'!F38*'Plate Planning'!$M$17/'Plate Planning'!$P$21/'Plate Planning'!$M$21*100</f>
        <v>#DIV/0!</v>
      </c>
      <c r="I38" s="165" t="e">
        <f>'Uncorrected Area Counts'!K38/'Uncorrected Area Counts'!F38*'Plate Planning'!$M$17/'Plate Planning'!$P$22/'Plate Planning'!$M$22*100</f>
        <v>#DIV/0!</v>
      </c>
      <c r="J38" s="165" t="e">
        <f>'Uncorrected Area Counts'!L38/'Uncorrected Area Counts'!F38*'Plate Planning'!$M$17/'Plate Planning'!$P$23/'Plate Planning'!$M$23*100</f>
        <v>#DIV/0!</v>
      </c>
      <c r="K38" s="165" t="e">
        <f>'Uncorrected Area Counts'!M38/'Uncorrected Area Counts'!F38*'Plate Planning'!$M$17/'Plate Planning'!$P$24/'Plate Planning'!$M$24*100</f>
        <v>#DIV/0!</v>
      </c>
      <c r="L38" s="315"/>
      <c r="M38" s="315"/>
      <c r="N38" s="315"/>
      <c r="O38" s="315"/>
      <c r="P38" s="315"/>
      <c r="Q38" s="315"/>
      <c r="R38" s="315"/>
      <c r="S38" s="315"/>
    </row>
    <row r="39" spans="1:19">
      <c r="A39" s="11">
        <v>36</v>
      </c>
      <c r="B39" s="1">
        <v>12</v>
      </c>
      <c r="C39" s="1">
        <v>3</v>
      </c>
      <c r="D39" s="10" t="s">
        <v>51</v>
      </c>
      <c r="E39" s="165" t="e">
        <f>'Uncorrected Area Counts'!G39/'Uncorrected Area Counts'!F39*'Plate Planning'!$M$17/'Plate Planning'!$P$18/'Plate Planning'!$M$18*100</f>
        <v>#DIV/0!</v>
      </c>
      <c r="F39" s="165" t="e">
        <f>'Uncorrected Area Counts'!H39/'Uncorrected Area Counts'!F39*'Plate Planning'!$M$17/'Plate Planning'!$P$19/'Plate Planning'!$M$19*100</f>
        <v>#DIV/0!</v>
      </c>
      <c r="G39" s="165" t="e">
        <f>'Uncorrected Area Counts'!I39/'Uncorrected Area Counts'!F39*'Plate Planning'!$M$17/'Plate Planning'!$P$20/'Plate Planning'!$M$20*100</f>
        <v>#DIV/0!</v>
      </c>
      <c r="H39" s="165" t="e">
        <f>'Uncorrected Area Counts'!J39/'Uncorrected Area Counts'!F39*'Plate Planning'!$M$17/'Plate Planning'!$P$21/'Plate Planning'!$M$21*100</f>
        <v>#DIV/0!</v>
      </c>
      <c r="I39" s="165" t="e">
        <f>'Uncorrected Area Counts'!K39/'Uncorrected Area Counts'!F39*'Plate Planning'!$M$17/'Plate Planning'!$P$22/'Plate Planning'!$M$22*100</f>
        <v>#DIV/0!</v>
      </c>
      <c r="J39" s="165" t="e">
        <f>'Uncorrected Area Counts'!L39/'Uncorrected Area Counts'!F39*'Plate Planning'!$M$17/'Plate Planning'!$P$23/'Plate Planning'!$M$23*100</f>
        <v>#DIV/0!</v>
      </c>
      <c r="K39" s="165" t="e">
        <f>'Uncorrected Area Counts'!M39/'Uncorrected Area Counts'!F39*'Plate Planning'!$M$17/'Plate Planning'!$P$24/'Plate Planning'!$M$24*100</f>
        <v>#DIV/0!</v>
      </c>
      <c r="L39" s="315"/>
      <c r="M39" s="315"/>
      <c r="N39" s="315"/>
      <c r="O39" s="315"/>
      <c r="P39" s="315"/>
      <c r="Q39" s="315"/>
      <c r="R39" s="315"/>
      <c r="S39" s="315"/>
    </row>
    <row r="40" spans="1:19">
      <c r="A40" s="11">
        <v>37</v>
      </c>
      <c r="B40" s="1">
        <v>1</v>
      </c>
      <c r="C40" s="1">
        <v>4</v>
      </c>
      <c r="D40" s="10" t="s">
        <v>51</v>
      </c>
      <c r="E40" s="165" t="e">
        <f>'Uncorrected Area Counts'!G40/'Uncorrected Area Counts'!F40*'Plate Planning'!$M$17/'Plate Planning'!$P$18/'Plate Planning'!$M$18*100</f>
        <v>#DIV/0!</v>
      </c>
      <c r="F40" s="165" t="e">
        <f>'Uncorrected Area Counts'!H40/'Uncorrected Area Counts'!F40*'Plate Planning'!$M$17/'Plate Planning'!$P$19/'Plate Planning'!$M$19*100</f>
        <v>#DIV/0!</v>
      </c>
      <c r="G40" s="165" t="e">
        <f>'Uncorrected Area Counts'!I40/'Uncorrected Area Counts'!F40*'Plate Planning'!$M$17/'Plate Planning'!$P$20/'Plate Planning'!$M$20*100</f>
        <v>#DIV/0!</v>
      </c>
      <c r="H40" s="165" t="e">
        <f>'Uncorrected Area Counts'!J40/'Uncorrected Area Counts'!F40*'Plate Planning'!$M$17/'Plate Planning'!$P$21/'Plate Planning'!$M$21*100</f>
        <v>#DIV/0!</v>
      </c>
      <c r="I40" s="165" t="e">
        <f>'Uncorrected Area Counts'!K40/'Uncorrected Area Counts'!F40*'Plate Planning'!$M$17/'Plate Planning'!$P$22/'Plate Planning'!$M$22*100</f>
        <v>#DIV/0!</v>
      </c>
      <c r="J40" s="165" t="e">
        <f>'Uncorrected Area Counts'!L40/'Uncorrected Area Counts'!F40*'Plate Planning'!$M$17/'Plate Planning'!$P$23/'Plate Planning'!$M$23*100</f>
        <v>#DIV/0!</v>
      </c>
      <c r="K40" s="165" t="e">
        <f>'Uncorrected Area Counts'!M40/'Uncorrected Area Counts'!F40*'Plate Planning'!$M$17/'Plate Planning'!$P$24/'Plate Planning'!$M$24*100</f>
        <v>#DIV/0!</v>
      </c>
      <c r="L40" s="315"/>
      <c r="M40" s="315"/>
      <c r="N40" s="315"/>
      <c r="O40" s="315"/>
      <c r="P40" s="315"/>
      <c r="Q40" s="315"/>
      <c r="R40" s="315"/>
      <c r="S40" s="315"/>
    </row>
    <row r="41" spans="1:19">
      <c r="A41" s="11">
        <v>38</v>
      </c>
      <c r="B41" s="1">
        <v>2</v>
      </c>
      <c r="C41" s="1">
        <v>4</v>
      </c>
      <c r="D41" s="10" t="s">
        <v>51</v>
      </c>
      <c r="E41" s="165" t="e">
        <f>'Uncorrected Area Counts'!G41/'Uncorrected Area Counts'!F41*'Plate Planning'!$M$17/'Plate Planning'!$P$18/'Plate Planning'!$M$18*100</f>
        <v>#DIV/0!</v>
      </c>
      <c r="F41" s="165" t="e">
        <f>'Uncorrected Area Counts'!H41/'Uncorrected Area Counts'!F41*'Plate Planning'!$M$17/'Plate Planning'!$P$19/'Plate Planning'!$M$19*100</f>
        <v>#DIV/0!</v>
      </c>
      <c r="G41" s="165" t="e">
        <f>'Uncorrected Area Counts'!I41/'Uncorrected Area Counts'!F41*'Plate Planning'!$M$17/'Plate Planning'!$P$20/'Plate Planning'!$M$20*100</f>
        <v>#DIV/0!</v>
      </c>
      <c r="H41" s="165" t="e">
        <f>'Uncorrected Area Counts'!J41/'Uncorrected Area Counts'!F41*'Plate Planning'!$M$17/'Plate Planning'!$P$21/'Plate Planning'!$M$21*100</f>
        <v>#DIV/0!</v>
      </c>
      <c r="I41" s="165" t="e">
        <f>'Uncorrected Area Counts'!K41/'Uncorrected Area Counts'!F41*'Plate Planning'!$M$17/'Plate Planning'!$P$22/'Plate Planning'!$M$22*100</f>
        <v>#DIV/0!</v>
      </c>
      <c r="J41" s="165" t="e">
        <f>'Uncorrected Area Counts'!L41/'Uncorrected Area Counts'!F41*'Plate Planning'!$M$17/'Plate Planning'!$P$23/'Plate Planning'!$M$23*100</f>
        <v>#DIV/0!</v>
      </c>
      <c r="K41" s="165" t="e">
        <f>'Uncorrected Area Counts'!M41/'Uncorrected Area Counts'!F41*'Plate Planning'!$M$17/'Plate Planning'!$P$24/'Plate Planning'!$M$24*100</f>
        <v>#DIV/0!</v>
      </c>
      <c r="L41" s="315"/>
      <c r="M41" s="315"/>
      <c r="N41" s="315"/>
      <c r="O41" s="315"/>
      <c r="P41" s="315"/>
      <c r="Q41" s="315"/>
      <c r="R41" s="315"/>
      <c r="S41" s="315"/>
    </row>
    <row r="42" spans="1:19">
      <c r="A42" s="11">
        <v>39</v>
      </c>
      <c r="B42" s="1">
        <v>3</v>
      </c>
      <c r="C42" s="1">
        <v>4</v>
      </c>
      <c r="D42" s="10" t="s">
        <v>51</v>
      </c>
      <c r="E42" s="165" t="e">
        <f>'Uncorrected Area Counts'!G42/'Uncorrected Area Counts'!F42*'Plate Planning'!$M$17/'Plate Planning'!$P$18/'Plate Planning'!$M$18*100</f>
        <v>#DIV/0!</v>
      </c>
      <c r="F42" s="165" t="e">
        <f>'Uncorrected Area Counts'!H42/'Uncorrected Area Counts'!F42*'Plate Planning'!$M$17/'Plate Planning'!$P$19/'Plate Planning'!$M$19*100</f>
        <v>#DIV/0!</v>
      </c>
      <c r="G42" s="165" t="e">
        <f>'Uncorrected Area Counts'!I42/'Uncorrected Area Counts'!F42*'Plate Planning'!$M$17/'Plate Planning'!$P$20/'Plate Planning'!$M$20*100</f>
        <v>#DIV/0!</v>
      </c>
      <c r="H42" s="165" t="e">
        <f>'Uncorrected Area Counts'!J42/'Uncorrected Area Counts'!F42*'Plate Planning'!$M$17/'Plate Planning'!$P$21/'Plate Planning'!$M$21*100</f>
        <v>#DIV/0!</v>
      </c>
      <c r="I42" s="165" t="e">
        <f>'Uncorrected Area Counts'!K42/'Uncorrected Area Counts'!F42*'Plate Planning'!$M$17/'Plate Planning'!$P$22/'Plate Planning'!$M$22*100</f>
        <v>#DIV/0!</v>
      </c>
      <c r="J42" s="165" t="e">
        <f>'Uncorrected Area Counts'!L42/'Uncorrected Area Counts'!F42*'Plate Planning'!$M$17/'Plate Planning'!$P$23/'Plate Planning'!$M$23*100</f>
        <v>#DIV/0!</v>
      </c>
      <c r="K42" s="165" t="e">
        <f>'Uncorrected Area Counts'!M42/'Uncorrected Area Counts'!F42*'Plate Planning'!$M$17/'Plate Planning'!$P$24/'Plate Planning'!$M$24*100</f>
        <v>#DIV/0!</v>
      </c>
      <c r="L42" s="315"/>
      <c r="M42" s="315"/>
      <c r="N42" s="315"/>
      <c r="O42" s="315"/>
      <c r="P42" s="315"/>
      <c r="Q42" s="315"/>
      <c r="R42" s="315"/>
      <c r="S42" s="315"/>
    </row>
    <row r="43" spans="1:19">
      <c r="A43" s="11">
        <v>40</v>
      </c>
      <c r="B43" s="1">
        <v>4</v>
      </c>
      <c r="C43" s="1">
        <v>4</v>
      </c>
      <c r="D43" s="10" t="s">
        <v>51</v>
      </c>
      <c r="E43" s="165" t="e">
        <f>'Uncorrected Area Counts'!G43/'Uncorrected Area Counts'!F43*'Plate Planning'!$M$17/'Plate Planning'!$P$18/'Plate Planning'!$M$18*100</f>
        <v>#DIV/0!</v>
      </c>
      <c r="F43" s="165" t="e">
        <f>'Uncorrected Area Counts'!H43/'Uncorrected Area Counts'!F43*'Plate Planning'!$M$17/'Plate Planning'!$P$19/'Plate Planning'!$M$19*100</f>
        <v>#DIV/0!</v>
      </c>
      <c r="G43" s="165" t="e">
        <f>'Uncorrected Area Counts'!I43/'Uncorrected Area Counts'!F43*'Plate Planning'!$M$17/'Plate Planning'!$P$20/'Plate Planning'!$M$20*100</f>
        <v>#DIV/0!</v>
      </c>
      <c r="H43" s="165" t="e">
        <f>'Uncorrected Area Counts'!J43/'Uncorrected Area Counts'!F43*'Plate Planning'!$M$17/'Plate Planning'!$P$21/'Plate Planning'!$M$21*100</f>
        <v>#DIV/0!</v>
      </c>
      <c r="I43" s="165" t="e">
        <f>'Uncorrected Area Counts'!K43/'Uncorrected Area Counts'!F43*'Plate Planning'!$M$17/'Plate Planning'!$P$22/'Plate Planning'!$M$22*100</f>
        <v>#DIV/0!</v>
      </c>
      <c r="J43" s="165" t="e">
        <f>'Uncorrected Area Counts'!L43/'Uncorrected Area Counts'!F43*'Plate Planning'!$M$17/'Plate Planning'!$P$23/'Plate Planning'!$M$23*100</f>
        <v>#DIV/0!</v>
      </c>
      <c r="K43" s="165" t="e">
        <f>'Uncorrected Area Counts'!M43/'Uncorrected Area Counts'!F43*'Plate Planning'!$M$17/'Plate Planning'!$P$24/'Plate Planning'!$M$24*100</f>
        <v>#DIV/0!</v>
      </c>
      <c r="L43" s="315"/>
      <c r="M43" s="315"/>
      <c r="N43" s="315"/>
      <c r="O43" s="315"/>
      <c r="P43" s="315"/>
      <c r="Q43" s="315"/>
      <c r="R43" s="315"/>
      <c r="S43" s="315"/>
    </row>
    <row r="44" spans="1:19">
      <c r="A44" s="11">
        <v>41</v>
      </c>
      <c r="B44" s="1">
        <v>5</v>
      </c>
      <c r="C44" s="1">
        <v>4</v>
      </c>
      <c r="D44" s="10" t="s">
        <v>51</v>
      </c>
      <c r="E44" s="165" t="e">
        <f>'Uncorrected Area Counts'!G44/'Uncorrected Area Counts'!F44*'Plate Planning'!$M$17/'Plate Planning'!$P$18/'Plate Planning'!$M$18*100</f>
        <v>#DIV/0!</v>
      </c>
      <c r="F44" s="165" t="e">
        <f>'Uncorrected Area Counts'!H44/'Uncorrected Area Counts'!F44*'Plate Planning'!$M$17/'Plate Planning'!$P$19/'Plate Planning'!$M$19*100</f>
        <v>#DIV/0!</v>
      </c>
      <c r="G44" s="165" t="e">
        <f>'Uncorrected Area Counts'!I44/'Uncorrected Area Counts'!F44*'Plate Planning'!$M$17/'Plate Planning'!$P$20/'Plate Planning'!$M$20*100</f>
        <v>#DIV/0!</v>
      </c>
      <c r="H44" s="165" t="e">
        <f>'Uncorrected Area Counts'!J44/'Uncorrected Area Counts'!F44*'Plate Planning'!$M$17/'Plate Planning'!$P$21/'Plate Planning'!$M$21*100</f>
        <v>#DIV/0!</v>
      </c>
      <c r="I44" s="165" t="e">
        <f>'Uncorrected Area Counts'!K44/'Uncorrected Area Counts'!F44*'Plate Planning'!$M$17/'Plate Planning'!$P$22/'Plate Planning'!$M$22*100</f>
        <v>#DIV/0!</v>
      </c>
      <c r="J44" s="165" t="e">
        <f>'Uncorrected Area Counts'!L44/'Uncorrected Area Counts'!F44*'Plate Planning'!$M$17/'Plate Planning'!$P$23/'Plate Planning'!$M$23*100</f>
        <v>#DIV/0!</v>
      </c>
      <c r="K44" s="165" t="e">
        <f>'Uncorrected Area Counts'!M44/'Uncorrected Area Counts'!F44*'Plate Planning'!$M$17/'Plate Planning'!$P$24/'Plate Planning'!$M$24*100</f>
        <v>#DIV/0!</v>
      </c>
      <c r="L44" s="315"/>
      <c r="M44" s="315"/>
      <c r="N44" s="315"/>
      <c r="O44" s="315"/>
      <c r="P44" s="315"/>
      <c r="Q44" s="315"/>
      <c r="R44" s="315"/>
      <c r="S44" s="315"/>
    </row>
    <row r="45" spans="1:19">
      <c r="A45" s="11">
        <v>42</v>
      </c>
      <c r="B45" s="1">
        <v>6</v>
      </c>
      <c r="C45" s="1">
        <v>4</v>
      </c>
      <c r="D45" s="10" t="s">
        <v>51</v>
      </c>
      <c r="E45" s="165" t="e">
        <f>'Uncorrected Area Counts'!G45/'Uncorrected Area Counts'!F45*'Plate Planning'!$M$17/'Plate Planning'!$P$18/'Plate Planning'!$M$18*100</f>
        <v>#DIV/0!</v>
      </c>
      <c r="F45" s="165" t="e">
        <f>'Uncorrected Area Counts'!H45/'Uncorrected Area Counts'!F45*'Plate Planning'!$M$17/'Plate Planning'!$P$19/'Plate Planning'!$M$19*100</f>
        <v>#DIV/0!</v>
      </c>
      <c r="G45" s="165" t="e">
        <f>'Uncorrected Area Counts'!I45/'Uncorrected Area Counts'!F45*'Plate Planning'!$M$17/'Plate Planning'!$P$20/'Plate Planning'!$M$20*100</f>
        <v>#DIV/0!</v>
      </c>
      <c r="H45" s="165" t="e">
        <f>'Uncorrected Area Counts'!J45/'Uncorrected Area Counts'!F45*'Plate Planning'!$M$17/'Plate Planning'!$P$21/'Plate Planning'!$M$21*100</f>
        <v>#DIV/0!</v>
      </c>
      <c r="I45" s="165" t="e">
        <f>'Uncorrected Area Counts'!K45/'Uncorrected Area Counts'!F45*'Plate Planning'!$M$17/'Plate Planning'!$P$22/'Plate Planning'!$M$22*100</f>
        <v>#DIV/0!</v>
      </c>
      <c r="J45" s="165" t="e">
        <f>'Uncorrected Area Counts'!L45/'Uncorrected Area Counts'!F45*'Plate Planning'!$M$17/'Plate Planning'!$P$23/'Plate Planning'!$M$23*100</f>
        <v>#DIV/0!</v>
      </c>
      <c r="K45" s="165" t="e">
        <f>'Uncorrected Area Counts'!M45/'Uncorrected Area Counts'!F45*'Plate Planning'!$M$17/'Plate Planning'!$P$24/'Plate Planning'!$M$24*100</f>
        <v>#DIV/0!</v>
      </c>
      <c r="L45" s="315"/>
      <c r="M45" s="315"/>
      <c r="N45" s="315"/>
      <c r="O45" s="315"/>
      <c r="P45" s="315"/>
      <c r="Q45" s="315"/>
      <c r="R45" s="315"/>
      <c r="S45" s="315"/>
    </row>
    <row r="46" spans="1:19">
      <c r="A46" s="11">
        <v>43</v>
      </c>
      <c r="B46" s="1">
        <v>7</v>
      </c>
      <c r="C46" s="1">
        <v>4</v>
      </c>
      <c r="D46" s="10" t="s">
        <v>51</v>
      </c>
      <c r="E46" s="165" t="e">
        <f>'Uncorrected Area Counts'!G46/'Uncorrected Area Counts'!F46*'Plate Planning'!$M$17/'Plate Planning'!$P$18/'Plate Planning'!$M$18*100</f>
        <v>#DIV/0!</v>
      </c>
      <c r="F46" s="165" t="e">
        <f>'Uncorrected Area Counts'!H46/'Uncorrected Area Counts'!F46*'Plate Planning'!$M$17/'Plate Planning'!$P$19/'Plate Planning'!$M$19*100</f>
        <v>#DIV/0!</v>
      </c>
      <c r="G46" s="165" t="e">
        <f>'Uncorrected Area Counts'!I46/'Uncorrected Area Counts'!F46*'Plate Planning'!$M$17/'Plate Planning'!$P$20/'Plate Planning'!$M$20*100</f>
        <v>#DIV/0!</v>
      </c>
      <c r="H46" s="165" t="e">
        <f>'Uncorrected Area Counts'!J46/'Uncorrected Area Counts'!F46*'Plate Planning'!$M$17/'Plate Planning'!$P$21/'Plate Planning'!$M$21*100</f>
        <v>#DIV/0!</v>
      </c>
      <c r="I46" s="165" t="e">
        <f>'Uncorrected Area Counts'!K46/'Uncorrected Area Counts'!F46*'Plate Planning'!$M$17/'Plate Planning'!$P$22/'Plate Planning'!$M$22*100</f>
        <v>#DIV/0!</v>
      </c>
      <c r="J46" s="165" t="e">
        <f>'Uncorrected Area Counts'!L46/'Uncorrected Area Counts'!F46*'Plate Planning'!$M$17/'Plate Planning'!$P$23/'Plate Planning'!$M$23*100</f>
        <v>#DIV/0!</v>
      </c>
      <c r="K46" s="165" t="e">
        <f>'Uncorrected Area Counts'!M46/'Uncorrected Area Counts'!F46*'Plate Planning'!$M$17/'Plate Planning'!$P$24/'Plate Planning'!$M$24*100</f>
        <v>#DIV/0!</v>
      </c>
      <c r="L46" s="315"/>
      <c r="M46" s="315"/>
      <c r="N46" s="315"/>
      <c r="O46" s="315"/>
      <c r="P46" s="315"/>
      <c r="Q46" s="315"/>
      <c r="R46" s="315"/>
      <c r="S46" s="315"/>
    </row>
    <row r="47" spans="1:19">
      <c r="A47" s="11">
        <v>44</v>
      </c>
      <c r="B47" s="1">
        <v>8</v>
      </c>
      <c r="C47" s="1">
        <v>4</v>
      </c>
      <c r="D47" s="10" t="s">
        <v>51</v>
      </c>
      <c r="E47" s="165" t="e">
        <f>'Uncorrected Area Counts'!G47/'Uncorrected Area Counts'!F47*'Plate Planning'!$M$17/'Plate Planning'!$P$18/'Plate Planning'!$M$18*100</f>
        <v>#DIV/0!</v>
      </c>
      <c r="F47" s="165" t="e">
        <f>'Uncorrected Area Counts'!H47/'Uncorrected Area Counts'!F47*'Plate Planning'!$M$17/'Plate Planning'!$P$19/'Plate Planning'!$M$19*100</f>
        <v>#DIV/0!</v>
      </c>
      <c r="G47" s="165" t="e">
        <f>'Uncorrected Area Counts'!I47/'Uncorrected Area Counts'!F47*'Plate Planning'!$M$17/'Plate Planning'!$P$20/'Plate Planning'!$M$20*100</f>
        <v>#DIV/0!</v>
      </c>
      <c r="H47" s="165" t="e">
        <f>'Uncorrected Area Counts'!J47/'Uncorrected Area Counts'!F47*'Plate Planning'!$M$17/'Plate Planning'!$P$21/'Plate Planning'!$M$21*100</f>
        <v>#DIV/0!</v>
      </c>
      <c r="I47" s="165" t="e">
        <f>'Uncorrected Area Counts'!K47/'Uncorrected Area Counts'!F47*'Plate Planning'!$M$17/'Plate Planning'!$P$22/'Plate Planning'!$M$22*100</f>
        <v>#DIV/0!</v>
      </c>
      <c r="J47" s="165" t="e">
        <f>'Uncorrected Area Counts'!L47/'Uncorrected Area Counts'!F47*'Plate Planning'!$M$17/'Plate Planning'!$P$23/'Plate Planning'!$M$23*100</f>
        <v>#DIV/0!</v>
      </c>
      <c r="K47" s="165" t="e">
        <f>'Uncorrected Area Counts'!M47/'Uncorrected Area Counts'!F47*'Plate Planning'!$M$17/'Plate Planning'!$P$24/'Plate Planning'!$M$24*100</f>
        <v>#DIV/0!</v>
      </c>
      <c r="L47" s="315"/>
      <c r="M47" s="315"/>
      <c r="N47" s="315"/>
      <c r="O47" s="315"/>
      <c r="P47" s="315"/>
      <c r="Q47" s="315"/>
      <c r="R47" s="315"/>
      <c r="S47" s="315"/>
    </row>
    <row r="48" spans="1:19">
      <c r="A48" s="11">
        <v>45</v>
      </c>
      <c r="B48" s="1">
        <v>9</v>
      </c>
      <c r="C48" s="1">
        <v>4</v>
      </c>
      <c r="D48" s="10" t="s">
        <v>51</v>
      </c>
      <c r="E48" s="165" t="e">
        <f>'Uncorrected Area Counts'!G48/'Uncorrected Area Counts'!F48*'Plate Planning'!$M$17/'Plate Planning'!$P$18/'Plate Planning'!$M$18*100</f>
        <v>#DIV/0!</v>
      </c>
      <c r="F48" s="165" t="e">
        <f>'Uncorrected Area Counts'!H48/'Uncorrected Area Counts'!F48*'Plate Planning'!$M$17/'Plate Planning'!$P$19/'Plate Planning'!$M$19*100</f>
        <v>#DIV/0!</v>
      </c>
      <c r="G48" s="165" t="e">
        <f>'Uncorrected Area Counts'!I48/'Uncorrected Area Counts'!F48*'Plate Planning'!$M$17/'Plate Planning'!$P$20/'Plate Planning'!$M$20*100</f>
        <v>#DIV/0!</v>
      </c>
      <c r="H48" s="165" t="e">
        <f>'Uncorrected Area Counts'!J48/'Uncorrected Area Counts'!F48*'Plate Planning'!$M$17/'Plate Planning'!$P$21/'Plate Planning'!$M$21*100</f>
        <v>#DIV/0!</v>
      </c>
      <c r="I48" s="165" t="e">
        <f>'Uncorrected Area Counts'!K48/'Uncorrected Area Counts'!F48*'Plate Planning'!$M$17/'Plate Planning'!$P$22/'Plate Planning'!$M$22*100</f>
        <v>#DIV/0!</v>
      </c>
      <c r="J48" s="165" t="e">
        <f>'Uncorrected Area Counts'!L48/'Uncorrected Area Counts'!F48*'Plate Planning'!$M$17/'Plate Planning'!$P$23/'Plate Planning'!$M$23*100</f>
        <v>#DIV/0!</v>
      </c>
      <c r="K48" s="165" t="e">
        <f>'Uncorrected Area Counts'!M48/'Uncorrected Area Counts'!F48*'Plate Planning'!$M$17/'Plate Planning'!$P$24/'Plate Planning'!$M$24*100</f>
        <v>#DIV/0!</v>
      </c>
      <c r="L48" s="315"/>
      <c r="M48" s="315"/>
      <c r="N48" s="315"/>
      <c r="O48" s="315"/>
      <c r="P48" s="315"/>
      <c r="Q48" s="315"/>
      <c r="R48" s="315"/>
      <c r="S48" s="315"/>
    </row>
    <row r="49" spans="1:19">
      <c r="A49" s="11">
        <v>46</v>
      </c>
      <c r="B49" s="1">
        <v>10</v>
      </c>
      <c r="C49" s="1">
        <v>4</v>
      </c>
      <c r="D49" s="10" t="s">
        <v>51</v>
      </c>
      <c r="E49" s="165" t="e">
        <f>'Uncorrected Area Counts'!G49/'Uncorrected Area Counts'!F49*'Plate Planning'!$M$17/'Plate Planning'!$P$18/'Plate Planning'!$M$18*100</f>
        <v>#DIV/0!</v>
      </c>
      <c r="F49" s="165" t="e">
        <f>'Uncorrected Area Counts'!H49/'Uncorrected Area Counts'!F49*'Plate Planning'!$M$17/'Plate Planning'!$P$19/'Plate Planning'!$M$19*100</f>
        <v>#DIV/0!</v>
      </c>
      <c r="G49" s="165" t="e">
        <f>'Uncorrected Area Counts'!I49/'Uncorrected Area Counts'!F49*'Plate Planning'!$M$17/'Plate Planning'!$P$20/'Plate Planning'!$M$20*100</f>
        <v>#DIV/0!</v>
      </c>
      <c r="H49" s="165" t="e">
        <f>'Uncorrected Area Counts'!J49/'Uncorrected Area Counts'!F49*'Plate Planning'!$M$17/'Plate Planning'!$P$21/'Plate Planning'!$M$21*100</f>
        <v>#DIV/0!</v>
      </c>
      <c r="I49" s="165" t="e">
        <f>'Uncorrected Area Counts'!K49/'Uncorrected Area Counts'!F49*'Plate Planning'!$M$17/'Plate Planning'!$P$22/'Plate Planning'!$M$22*100</f>
        <v>#DIV/0!</v>
      </c>
      <c r="J49" s="165" t="e">
        <f>'Uncorrected Area Counts'!L49/'Uncorrected Area Counts'!F49*'Plate Planning'!$M$17/'Plate Planning'!$P$23/'Plate Planning'!$M$23*100</f>
        <v>#DIV/0!</v>
      </c>
      <c r="K49" s="165" t="e">
        <f>'Uncorrected Area Counts'!M49/'Uncorrected Area Counts'!F49*'Plate Planning'!$M$17/'Plate Planning'!$P$24/'Plate Planning'!$M$24*100</f>
        <v>#DIV/0!</v>
      </c>
      <c r="L49" s="315"/>
      <c r="M49" s="315"/>
      <c r="N49" s="315"/>
      <c r="O49" s="315"/>
      <c r="P49" s="315"/>
      <c r="Q49" s="315"/>
      <c r="R49" s="315"/>
      <c r="S49" s="315"/>
    </row>
    <row r="50" spans="1:19">
      <c r="A50" s="11">
        <v>47</v>
      </c>
      <c r="B50" s="1">
        <v>11</v>
      </c>
      <c r="C50" s="1">
        <v>4</v>
      </c>
      <c r="D50" s="10" t="s">
        <v>51</v>
      </c>
      <c r="E50" s="165" t="e">
        <f>'Uncorrected Area Counts'!G50/'Uncorrected Area Counts'!F50*'Plate Planning'!$M$17/'Plate Planning'!$P$18/'Plate Planning'!$M$18*100</f>
        <v>#DIV/0!</v>
      </c>
      <c r="F50" s="165" t="e">
        <f>'Uncorrected Area Counts'!H50/'Uncorrected Area Counts'!F50*'Plate Planning'!$M$17/'Plate Planning'!$P$19/'Plate Planning'!$M$19*100</f>
        <v>#DIV/0!</v>
      </c>
      <c r="G50" s="165" t="e">
        <f>'Uncorrected Area Counts'!I50/'Uncorrected Area Counts'!F50*'Plate Planning'!$M$17/'Plate Planning'!$P$20/'Plate Planning'!$M$20*100</f>
        <v>#DIV/0!</v>
      </c>
      <c r="H50" s="165" t="e">
        <f>'Uncorrected Area Counts'!J50/'Uncorrected Area Counts'!F50*'Plate Planning'!$M$17/'Plate Planning'!$P$21/'Plate Planning'!$M$21*100</f>
        <v>#DIV/0!</v>
      </c>
      <c r="I50" s="165" t="e">
        <f>'Uncorrected Area Counts'!K50/'Uncorrected Area Counts'!F50*'Plate Planning'!$M$17/'Plate Planning'!$P$22/'Plate Planning'!$M$22*100</f>
        <v>#DIV/0!</v>
      </c>
      <c r="J50" s="165" t="e">
        <f>'Uncorrected Area Counts'!L50/'Uncorrected Area Counts'!F50*'Plate Planning'!$M$17/'Plate Planning'!$P$23/'Plate Planning'!$M$23*100</f>
        <v>#DIV/0!</v>
      </c>
      <c r="K50" s="165" t="e">
        <f>'Uncorrected Area Counts'!M50/'Uncorrected Area Counts'!F50*'Plate Planning'!$M$17/'Plate Planning'!$P$24/'Plate Planning'!$M$24*100</f>
        <v>#DIV/0!</v>
      </c>
      <c r="L50" s="315"/>
      <c r="M50" s="315"/>
      <c r="N50" s="315"/>
      <c r="O50" s="315"/>
      <c r="P50" s="315"/>
      <c r="Q50" s="315"/>
      <c r="R50" s="315"/>
      <c r="S50" s="315"/>
    </row>
    <row r="51" spans="1:19">
      <c r="A51" s="11">
        <v>48</v>
      </c>
      <c r="B51" s="1">
        <v>12</v>
      </c>
      <c r="C51" s="1">
        <v>4</v>
      </c>
      <c r="D51" s="10" t="s">
        <v>51</v>
      </c>
      <c r="E51" s="165" t="e">
        <f>'Uncorrected Area Counts'!G51/'Uncorrected Area Counts'!F51*'Plate Planning'!$M$17/'Plate Planning'!$P$18/'Plate Planning'!$M$18*100</f>
        <v>#DIV/0!</v>
      </c>
      <c r="F51" s="165" t="e">
        <f>'Uncorrected Area Counts'!H51/'Uncorrected Area Counts'!F51*'Plate Planning'!$M$17/'Plate Planning'!$P$19/'Plate Planning'!$M$19*100</f>
        <v>#DIV/0!</v>
      </c>
      <c r="G51" s="165" t="e">
        <f>'Uncorrected Area Counts'!I51/'Uncorrected Area Counts'!F51*'Plate Planning'!$M$17/'Plate Planning'!$P$20/'Plate Planning'!$M$20*100</f>
        <v>#DIV/0!</v>
      </c>
      <c r="H51" s="165" t="e">
        <f>'Uncorrected Area Counts'!J51/'Uncorrected Area Counts'!F51*'Plate Planning'!$M$17/'Plate Planning'!$P$21/'Plate Planning'!$M$21*100</f>
        <v>#DIV/0!</v>
      </c>
      <c r="I51" s="165" t="e">
        <f>'Uncorrected Area Counts'!K51/'Uncorrected Area Counts'!F51*'Plate Planning'!$M$17/'Plate Planning'!$P$22/'Plate Planning'!$M$22*100</f>
        <v>#DIV/0!</v>
      </c>
      <c r="J51" s="165" t="e">
        <f>'Uncorrected Area Counts'!L51/'Uncorrected Area Counts'!F51*'Plate Planning'!$M$17/'Plate Planning'!$P$23/'Plate Planning'!$M$23*100</f>
        <v>#DIV/0!</v>
      </c>
      <c r="K51" s="165" t="e">
        <f>'Uncorrected Area Counts'!M51/'Uncorrected Area Counts'!F51*'Plate Planning'!$M$17/'Plate Planning'!$P$24/'Plate Planning'!$M$24*100</f>
        <v>#DIV/0!</v>
      </c>
      <c r="L51" s="315"/>
      <c r="M51" s="315"/>
      <c r="N51" s="315"/>
      <c r="O51" s="315"/>
      <c r="P51" s="315"/>
      <c r="Q51" s="315"/>
      <c r="R51" s="315"/>
      <c r="S51" s="315"/>
    </row>
    <row r="52" spans="1:19">
      <c r="A52" s="11">
        <v>49</v>
      </c>
      <c r="B52" s="1">
        <v>1</v>
      </c>
      <c r="C52" s="1">
        <v>5</v>
      </c>
      <c r="D52" s="10" t="s">
        <v>51</v>
      </c>
      <c r="E52" s="165" t="e">
        <f>'Uncorrected Area Counts'!G52/'Uncorrected Area Counts'!F52*'Plate Planning'!$M$17/'Plate Planning'!$P$18/'Plate Planning'!$M$18*100</f>
        <v>#DIV/0!</v>
      </c>
      <c r="F52" s="165" t="e">
        <f>'Uncorrected Area Counts'!H52/'Uncorrected Area Counts'!F52*'Plate Planning'!$M$17/'Plate Planning'!$P$19/'Plate Planning'!$M$19*100</f>
        <v>#DIV/0!</v>
      </c>
      <c r="G52" s="165" t="e">
        <f>'Uncorrected Area Counts'!I52/'Uncorrected Area Counts'!F52*'Plate Planning'!$M$17/'Plate Planning'!$P$20/'Plate Planning'!$M$20*100</f>
        <v>#DIV/0!</v>
      </c>
      <c r="H52" s="165" t="e">
        <f>'Uncorrected Area Counts'!J52/'Uncorrected Area Counts'!F52*'Plate Planning'!$M$17/'Plate Planning'!$P$21/'Plate Planning'!$M$21*100</f>
        <v>#DIV/0!</v>
      </c>
      <c r="I52" s="165" t="e">
        <f>'Uncorrected Area Counts'!K52/'Uncorrected Area Counts'!F52*'Plate Planning'!$M$17/'Plate Planning'!$P$22/'Plate Planning'!$M$22*100</f>
        <v>#DIV/0!</v>
      </c>
      <c r="J52" s="165" t="e">
        <f>'Uncorrected Area Counts'!L52/'Uncorrected Area Counts'!F52*'Plate Planning'!$M$17/'Plate Planning'!$P$23/'Plate Planning'!$M$23*100</f>
        <v>#DIV/0!</v>
      </c>
      <c r="K52" s="165" t="e">
        <f>'Uncorrected Area Counts'!M52/'Uncorrected Area Counts'!F52*'Plate Planning'!$M$17/'Plate Planning'!$P$24/'Plate Planning'!$M$24*100</f>
        <v>#DIV/0!</v>
      </c>
      <c r="L52" s="315"/>
      <c r="M52" s="315"/>
      <c r="N52" s="315"/>
      <c r="O52" s="315"/>
      <c r="P52" s="315"/>
      <c r="Q52" s="315"/>
      <c r="R52" s="315"/>
      <c r="S52" s="315"/>
    </row>
    <row r="53" spans="1:19">
      <c r="A53" s="11">
        <v>50</v>
      </c>
      <c r="B53" s="1">
        <v>2</v>
      </c>
      <c r="C53" s="1">
        <v>5</v>
      </c>
      <c r="D53" s="10" t="s">
        <v>51</v>
      </c>
      <c r="E53" s="165" t="e">
        <f>'Uncorrected Area Counts'!G53/'Uncorrected Area Counts'!F53*'Plate Planning'!$M$17/'Plate Planning'!$P$18/'Plate Planning'!$M$18*100</f>
        <v>#DIV/0!</v>
      </c>
      <c r="F53" s="165" t="e">
        <f>'Uncorrected Area Counts'!H53/'Uncorrected Area Counts'!F53*'Plate Planning'!$M$17/'Plate Planning'!$P$19/'Plate Planning'!$M$19*100</f>
        <v>#DIV/0!</v>
      </c>
      <c r="G53" s="165" t="e">
        <f>'Uncorrected Area Counts'!I53/'Uncorrected Area Counts'!F53*'Plate Planning'!$M$17/'Plate Planning'!$P$20/'Plate Planning'!$M$20*100</f>
        <v>#DIV/0!</v>
      </c>
      <c r="H53" s="165" t="e">
        <f>'Uncorrected Area Counts'!J53/'Uncorrected Area Counts'!F53*'Plate Planning'!$M$17/'Plate Planning'!$P$21/'Plate Planning'!$M$21*100</f>
        <v>#DIV/0!</v>
      </c>
      <c r="I53" s="165" t="e">
        <f>'Uncorrected Area Counts'!K53/'Uncorrected Area Counts'!F53*'Plate Planning'!$M$17/'Plate Planning'!$P$22/'Plate Planning'!$M$22*100</f>
        <v>#DIV/0!</v>
      </c>
      <c r="J53" s="165" t="e">
        <f>'Uncorrected Area Counts'!L53/'Uncorrected Area Counts'!F53*'Plate Planning'!$M$17/'Plate Planning'!$P$23/'Plate Planning'!$M$23*100</f>
        <v>#DIV/0!</v>
      </c>
      <c r="K53" s="165" t="e">
        <f>'Uncorrected Area Counts'!M53/'Uncorrected Area Counts'!F53*'Plate Planning'!$M$17/'Plate Planning'!$P$24/'Plate Planning'!$M$24*100</f>
        <v>#DIV/0!</v>
      </c>
      <c r="L53" s="315"/>
      <c r="M53" s="315"/>
      <c r="N53" s="315"/>
      <c r="O53" s="315"/>
      <c r="P53" s="315"/>
      <c r="Q53" s="315"/>
      <c r="R53" s="315"/>
      <c r="S53" s="315"/>
    </row>
    <row r="54" spans="1:19">
      <c r="A54" s="11">
        <v>51</v>
      </c>
      <c r="B54" s="1">
        <v>3</v>
      </c>
      <c r="C54" s="1">
        <v>5</v>
      </c>
      <c r="D54" s="10" t="s">
        <v>51</v>
      </c>
      <c r="E54" s="165" t="e">
        <f>'Uncorrected Area Counts'!G54/'Uncorrected Area Counts'!F54*'Plate Planning'!$M$17/'Plate Planning'!$P$18/'Plate Planning'!$M$18*100</f>
        <v>#DIV/0!</v>
      </c>
      <c r="F54" s="165" t="e">
        <f>'Uncorrected Area Counts'!H54/'Uncorrected Area Counts'!F54*'Plate Planning'!$M$17/'Plate Planning'!$P$19/'Plate Planning'!$M$19*100</f>
        <v>#DIV/0!</v>
      </c>
      <c r="G54" s="165" t="e">
        <f>'Uncorrected Area Counts'!I54/'Uncorrected Area Counts'!F54*'Plate Planning'!$M$17/'Plate Planning'!$P$20/'Plate Planning'!$M$20*100</f>
        <v>#DIV/0!</v>
      </c>
      <c r="H54" s="165" t="e">
        <f>'Uncorrected Area Counts'!J54/'Uncorrected Area Counts'!F54*'Plate Planning'!$M$17/'Plate Planning'!$P$21/'Plate Planning'!$M$21*100</f>
        <v>#DIV/0!</v>
      </c>
      <c r="I54" s="165" t="e">
        <f>'Uncorrected Area Counts'!K54/'Uncorrected Area Counts'!F54*'Plate Planning'!$M$17/'Plate Planning'!$P$22/'Plate Planning'!$M$22*100</f>
        <v>#DIV/0!</v>
      </c>
      <c r="J54" s="165" t="e">
        <f>'Uncorrected Area Counts'!L54/'Uncorrected Area Counts'!F54*'Plate Planning'!$M$17/'Plate Planning'!$P$23/'Plate Planning'!$M$23*100</f>
        <v>#DIV/0!</v>
      </c>
      <c r="K54" s="165" t="e">
        <f>'Uncorrected Area Counts'!M54/'Uncorrected Area Counts'!F54*'Plate Planning'!$M$17/'Plate Planning'!$P$24/'Plate Planning'!$M$24*100</f>
        <v>#DIV/0!</v>
      </c>
      <c r="L54" s="315"/>
      <c r="M54" s="315"/>
      <c r="N54" s="315"/>
      <c r="O54" s="315"/>
      <c r="P54" s="315"/>
      <c r="Q54" s="315"/>
      <c r="R54" s="315"/>
      <c r="S54" s="315"/>
    </row>
    <row r="55" spans="1:19">
      <c r="A55" s="11">
        <v>52</v>
      </c>
      <c r="B55" s="1">
        <v>4</v>
      </c>
      <c r="C55" s="1">
        <v>5</v>
      </c>
      <c r="D55" s="10" t="s">
        <v>51</v>
      </c>
      <c r="E55" s="165" t="e">
        <f>'Uncorrected Area Counts'!G55/'Uncorrected Area Counts'!F55*'Plate Planning'!$M$17/'Plate Planning'!$P$18/'Plate Planning'!$M$18*100</f>
        <v>#DIV/0!</v>
      </c>
      <c r="F55" s="165" t="e">
        <f>'Uncorrected Area Counts'!H55/'Uncorrected Area Counts'!F55*'Plate Planning'!$M$17/'Plate Planning'!$P$19/'Plate Planning'!$M$19*100</f>
        <v>#DIV/0!</v>
      </c>
      <c r="G55" s="165" t="e">
        <f>'Uncorrected Area Counts'!I55/'Uncorrected Area Counts'!F55*'Plate Planning'!$M$17/'Plate Planning'!$P$20/'Plate Planning'!$M$20*100</f>
        <v>#DIV/0!</v>
      </c>
      <c r="H55" s="165" t="e">
        <f>'Uncorrected Area Counts'!J55/'Uncorrected Area Counts'!F55*'Plate Planning'!$M$17/'Plate Planning'!$P$21/'Plate Planning'!$M$21*100</f>
        <v>#DIV/0!</v>
      </c>
      <c r="I55" s="165" t="e">
        <f>'Uncorrected Area Counts'!K55/'Uncorrected Area Counts'!F55*'Plate Planning'!$M$17/'Plate Planning'!$P$22/'Plate Planning'!$M$22*100</f>
        <v>#DIV/0!</v>
      </c>
      <c r="J55" s="165" t="e">
        <f>'Uncorrected Area Counts'!L55/'Uncorrected Area Counts'!F55*'Plate Planning'!$M$17/'Plate Planning'!$P$23/'Plate Planning'!$M$23*100</f>
        <v>#DIV/0!</v>
      </c>
      <c r="K55" s="165" t="e">
        <f>'Uncorrected Area Counts'!M55/'Uncorrected Area Counts'!F55*'Plate Planning'!$M$17/'Plate Planning'!$P$24/'Plate Planning'!$M$24*100</f>
        <v>#DIV/0!</v>
      </c>
      <c r="L55" s="315"/>
      <c r="M55" s="315"/>
      <c r="N55" s="315"/>
      <c r="O55" s="315"/>
      <c r="P55" s="315"/>
      <c r="Q55" s="315"/>
      <c r="R55" s="315"/>
      <c r="S55" s="315"/>
    </row>
    <row r="56" spans="1:19">
      <c r="A56" s="11">
        <v>53</v>
      </c>
      <c r="B56" s="1">
        <v>5</v>
      </c>
      <c r="C56" s="1">
        <v>5</v>
      </c>
      <c r="D56" s="10" t="s">
        <v>51</v>
      </c>
      <c r="E56" s="165" t="e">
        <f>'Uncorrected Area Counts'!G56/'Uncorrected Area Counts'!F56*'Plate Planning'!$M$17/'Plate Planning'!$P$18/'Plate Planning'!$M$18*100</f>
        <v>#DIV/0!</v>
      </c>
      <c r="F56" s="165" t="e">
        <f>'Uncorrected Area Counts'!H56/'Uncorrected Area Counts'!F56*'Plate Planning'!$M$17/'Plate Planning'!$P$19/'Plate Planning'!$M$19*100</f>
        <v>#DIV/0!</v>
      </c>
      <c r="G56" s="165" t="e">
        <f>'Uncorrected Area Counts'!I56/'Uncorrected Area Counts'!F56*'Plate Planning'!$M$17/'Plate Planning'!$P$20/'Plate Planning'!$M$20*100</f>
        <v>#DIV/0!</v>
      </c>
      <c r="H56" s="165" t="e">
        <f>'Uncorrected Area Counts'!J56/'Uncorrected Area Counts'!F56*'Plate Planning'!$M$17/'Plate Planning'!$P$21/'Plate Planning'!$M$21*100</f>
        <v>#DIV/0!</v>
      </c>
      <c r="I56" s="165" t="e">
        <f>'Uncorrected Area Counts'!K56/'Uncorrected Area Counts'!F56*'Plate Planning'!$M$17/'Plate Planning'!$P$22/'Plate Planning'!$M$22*100</f>
        <v>#DIV/0!</v>
      </c>
      <c r="J56" s="165" t="e">
        <f>'Uncorrected Area Counts'!L56/'Uncorrected Area Counts'!F56*'Plate Planning'!$M$17/'Plate Planning'!$P$23/'Plate Planning'!$M$23*100</f>
        <v>#DIV/0!</v>
      </c>
      <c r="K56" s="165" t="e">
        <f>'Uncorrected Area Counts'!M56/'Uncorrected Area Counts'!F56*'Plate Planning'!$M$17/'Plate Planning'!$P$24/'Plate Planning'!$M$24*100</f>
        <v>#DIV/0!</v>
      </c>
      <c r="L56" s="315"/>
      <c r="M56" s="315"/>
      <c r="N56" s="315"/>
      <c r="O56" s="315"/>
      <c r="P56" s="315"/>
      <c r="Q56" s="315"/>
      <c r="R56" s="315"/>
      <c r="S56" s="315"/>
    </row>
    <row r="57" spans="1:19">
      <c r="A57" s="11">
        <v>54</v>
      </c>
      <c r="B57" s="1">
        <v>6</v>
      </c>
      <c r="C57" s="1">
        <v>5</v>
      </c>
      <c r="D57" s="10" t="s">
        <v>51</v>
      </c>
      <c r="E57" s="165" t="e">
        <f>'Uncorrected Area Counts'!G57/'Uncorrected Area Counts'!F57*'Plate Planning'!$M$17/'Plate Planning'!$P$18/'Plate Planning'!$M$18*100</f>
        <v>#DIV/0!</v>
      </c>
      <c r="F57" s="165" t="e">
        <f>'Uncorrected Area Counts'!H57/'Uncorrected Area Counts'!F57*'Plate Planning'!$M$17/'Plate Planning'!$P$19/'Plate Planning'!$M$19*100</f>
        <v>#DIV/0!</v>
      </c>
      <c r="G57" s="165" t="e">
        <f>'Uncorrected Area Counts'!I57/'Uncorrected Area Counts'!F57*'Plate Planning'!$M$17/'Plate Planning'!$P$20/'Plate Planning'!$M$20*100</f>
        <v>#DIV/0!</v>
      </c>
      <c r="H57" s="165" t="e">
        <f>'Uncorrected Area Counts'!J57/'Uncorrected Area Counts'!F57*'Plate Planning'!$M$17/'Plate Planning'!$P$21/'Plate Planning'!$M$21*100</f>
        <v>#DIV/0!</v>
      </c>
      <c r="I57" s="165" t="e">
        <f>'Uncorrected Area Counts'!K57/'Uncorrected Area Counts'!F57*'Plate Planning'!$M$17/'Plate Planning'!$P$22/'Plate Planning'!$M$22*100</f>
        <v>#DIV/0!</v>
      </c>
      <c r="J57" s="165" t="e">
        <f>'Uncorrected Area Counts'!L57/'Uncorrected Area Counts'!F57*'Plate Planning'!$M$17/'Plate Planning'!$P$23/'Plate Planning'!$M$23*100</f>
        <v>#DIV/0!</v>
      </c>
      <c r="K57" s="165" t="e">
        <f>'Uncorrected Area Counts'!M57/'Uncorrected Area Counts'!F57*'Plate Planning'!$M$17/'Plate Planning'!$P$24/'Plate Planning'!$M$24*100</f>
        <v>#DIV/0!</v>
      </c>
      <c r="L57" s="315"/>
      <c r="M57" s="315"/>
      <c r="N57" s="315"/>
      <c r="O57" s="315"/>
      <c r="P57" s="315"/>
      <c r="Q57" s="315"/>
      <c r="R57" s="315"/>
      <c r="S57" s="315"/>
    </row>
    <row r="58" spans="1:19">
      <c r="A58" s="11">
        <v>55</v>
      </c>
      <c r="B58" s="1">
        <v>7</v>
      </c>
      <c r="C58" s="1">
        <v>5</v>
      </c>
      <c r="D58" s="10" t="s">
        <v>51</v>
      </c>
      <c r="E58" s="165" t="e">
        <f>'Uncorrected Area Counts'!G58/'Uncorrected Area Counts'!F58*'Plate Planning'!$M$17/'Plate Planning'!$P$18/'Plate Planning'!$M$18*100</f>
        <v>#DIV/0!</v>
      </c>
      <c r="F58" s="165" t="e">
        <f>'Uncorrected Area Counts'!H58/'Uncorrected Area Counts'!F58*'Plate Planning'!$M$17/'Plate Planning'!$P$19/'Plate Planning'!$M$19*100</f>
        <v>#DIV/0!</v>
      </c>
      <c r="G58" s="165" t="e">
        <f>'Uncorrected Area Counts'!I58/'Uncorrected Area Counts'!F58*'Plate Planning'!$M$17/'Plate Planning'!$P$20/'Plate Planning'!$M$20*100</f>
        <v>#DIV/0!</v>
      </c>
      <c r="H58" s="165" t="e">
        <f>'Uncorrected Area Counts'!J58/'Uncorrected Area Counts'!F58*'Plate Planning'!$M$17/'Plate Planning'!$P$21/'Plate Planning'!$M$21*100</f>
        <v>#DIV/0!</v>
      </c>
      <c r="I58" s="165" t="e">
        <f>'Uncorrected Area Counts'!K58/'Uncorrected Area Counts'!F58*'Plate Planning'!$M$17/'Plate Planning'!$P$22/'Plate Planning'!$M$22*100</f>
        <v>#DIV/0!</v>
      </c>
      <c r="J58" s="165" t="e">
        <f>'Uncorrected Area Counts'!L58/'Uncorrected Area Counts'!F58*'Plate Planning'!$M$17/'Plate Planning'!$P$23/'Plate Planning'!$M$23*100</f>
        <v>#DIV/0!</v>
      </c>
      <c r="K58" s="165" t="e">
        <f>'Uncorrected Area Counts'!M58/'Uncorrected Area Counts'!F58*'Plate Planning'!$M$17/'Plate Planning'!$P$24/'Plate Planning'!$M$24*100</f>
        <v>#DIV/0!</v>
      </c>
      <c r="L58" s="315"/>
      <c r="M58" s="315"/>
      <c r="N58" s="315"/>
      <c r="O58" s="315"/>
      <c r="P58" s="315"/>
      <c r="Q58" s="315"/>
      <c r="R58" s="315"/>
      <c r="S58" s="315"/>
    </row>
    <row r="59" spans="1:19">
      <c r="A59" s="11">
        <v>56</v>
      </c>
      <c r="B59" s="1">
        <v>8</v>
      </c>
      <c r="C59" s="1">
        <v>5</v>
      </c>
      <c r="D59" s="10" t="s">
        <v>51</v>
      </c>
      <c r="E59" s="165" t="e">
        <f>'Uncorrected Area Counts'!G59/'Uncorrected Area Counts'!F59*'Plate Planning'!$M$17/'Plate Planning'!$P$18/'Plate Planning'!$M$18*100</f>
        <v>#DIV/0!</v>
      </c>
      <c r="F59" s="165" t="e">
        <f>'Uncorrected Area Counts'!H59/'Uncorrected Area Counts'!F59*'Plate Planning'!$M$17/'Plate Planning'!$P$19/'Plate Planning'!$M$19*100</f>
        <v>#DIV/0!</v>
      </c>
      <c r="G59" s="165" t="e">
        <f>'Uncorrected Area Counts'!I59/'Uncorrected Area Counts'!F59*'Plate Planning'!$M$17/'Plate Planning'!$P$20/'Plate Planning'!$M$20*100</f>
        <v>#DIV/0!</v>
      </c>
      <c r="H59" s="165" t="e">
        <f>'Uncorrected Area Counts'!J59/'Uncorrected Area Counts'!F59*'Plate Planning'!$M$17/'Plate Planning'!$P$21/'Plate Planning'!$M$21*100</f>
        <v>#DIV/0!</v>
      </c>
      <c r="I59" s="165" t="e">
        <f>'Uncorrected Area Counts'!K59/'Uncorrected Area Counts'!F59*'Plate Planning'!$M$17/'Plate Planning'!$P$22/'Plate Planning'!$M$22*100</f>
        <v>#DIV/0!</v>
      </c>
      <c r="J59" s="165" t="e">
        <f>'Uncorrected Area Counts'!L59/'Uncorrected Area Counts'!F59*'Plate Planning'!$M$17/'Plate Planning'!$P$23/'Plate Planning'!$M$23*100</f>
        <v>#DIV/0!</v>
      </c>
      <c r="K59" s="165" t="e">
        <f>'Uncorrected Area Counts'!M59/'Uncorrected Area Counts'!F59*'Plate Planning'!$M$17/'Plate Planning'!$P$24/'Plate Planning'!$M$24*100</f>
        <v>#DIV/0!</v>
      </c>
      <c r="L59" s="315"/>
      <c r="M59" s="315"/>
      <c r="N59" s="315"/>
      <c r="O59" s="315"/>
      <c r="P59" s="315"/>
      <c r="Q59" s="315"/>
      <c r="R59" s="315"/>
      <c r="S59" s="315"/>
    </row>
    <row r="60" spans="1:19">
      <c r="A60" s="11">
        <v>57</v>
      </c>
      <c r="B60" s="1">
        <v>9</v>
      </c>
      <c r="C60" s="1">
        <v>5</v>
      </c>
      <c r="D60" s="10" t="s">
        <v>51</v>
      </c>
      <c r="E60" s="165" t="e">
        <f>'Uncorrected Area Counts'!G60/'Uncorrected Area Counts'!F60*'Plate Planning'!$M$17/'Plate Planning'!$P$18/'Plate Planning'!$M$18*100</f>
        <v>#DIV/0!</v>
      </c>
      <c r="F60" s="165" t="e">
        <f>'Uncorrected Area Counts'!H60/'Uncorrected Area Counts'!F60*'Plate Planning'!$M$17/'Plate Planning'!$P$19/'Plate Planning'!$M$19*100</f>
        <v>#DIV/0!</v>
      </c>
      <c r="G60" s="165" t="e">
        <f>'Uncorrected Area Counts'!I60/'Uncorrected Area Counts'!F60*'Plate Planning'!$M$17/'Plate Planning'!$P$20/'Plate Planning'!$M$20*100</f>
        <v>#DIV/0!</v>
      </c>
      <c r="H60" s="165" t="e">
        <f>'Uncorrected Area Counts'!J60/'Uncorrected Area Counts'!F60*'Plate Planning'!$M$17/'Plate Planning'!$P$21/'Plate Planning'!$M$21*100</f>
        <v>#DIV/0!</v>
      </c>
      <c r="I60" s="165" t="e">
        <f>'Uncorrected Area Counts'!K60/'Uncorrected Area Counts'!F60*'Plate Planning'!$M$17/'Plate Planning'!$P$22/'Plate Planning'!$M$22*100</f>
        <v>#DIV/0!</v>
      </c>
      <c r="J60" s="165" t="e">
        <f>'Uncorrected Area Counts'!L60/'Uncorrected Area Counts'!F60*'Plate Planning'!$M$17/'Plate Planning'!$P$23/'Plate Planning'!$M$23*100</f>
        <v>#DIV/0!</v>
      </c>
      <c r="K60" s="165" t="e">
        <f>'Uncorrected Area Counts'!M60/'Uncorrected Area Counts'!F60*'Plate Planning'!$M$17/'Plate Planning'!$P$24/'Plate Planning'!$M$24*100</f>
        <v>#DIV/0!</v>
      </c>
      <c r="L60" s="315"/>
      <c r="M60" s="315"/>
      <c r="N60" s="315"/>
      <c r="O60" s="315"/>
      <c r="P60" s="315"/>
      <c r="Q60" s="315"/>
      <c r="R60" s="315"/>
      <c r="S60" s="315"/>
    </row>
    <row r="61" spans="1:19">
      <c r="A61" s="11">
        <v>58</v>
      </c>
      <c r="B61" s="1">
        <v>10</v>
      </c>
      <c r="C61" s="1">
        <v>5</v>
      </c>
      <c r="D61" s="10" t="s">
        <v>51</v>
      </c>
      <c r="E61" s="165" t="e">
        <f>'Uncorrected Area Counts'!G61/'Uncorrected Area Counts'!F61*'Plate Planning'!$M$17/'Plate Planning'!$P$18/'Plate Planning'!$M$18*100</f>
        <v>#DIV/0!</v>
      </c>
      <c r="F61" s="165" t="e">
        <f>'Uncorrected Area Counts'!H61/'Uncorrected Area Counts'!F61*'Plate Planning'!$M$17/'Plate Planning'!$P$19/'Plate Planning'!$M$19*100</f>
        <v>#DIV/0!</v>
      </c>
      <c r="G61" s="165" t="e">
        <f>'Uncorrected Area Counts'!I61/'Uncorrected Area Counts'!F61*'Plate Planning'!$M$17/'Plate Planning'!$P$20/'Plate Planning'!$M$20*100</f>
        <v>#DIV/0!</v>
      </c>
      <c r="H61" s="165" t="e">
        <f>'Uncorrected Area Counts'!J61/'Uncorrected Area Counts'!F61*'Plate Planning'!$M$17/'Plate Planning'!$P$21/'Plate Planning'!$M$21*100</f>
        <v>#DIV/0!</v>
      </c>
      <c r="I61" s="165" t="e">
        <f>'Uncorrected Area Counts'!K61/'Uncorrected Area Counts'!F61*'Plate Planning'!$M$17/'Plate Planning'!$P$22/'Plate Planning'!$M$22*100</f>
        <v>#DIV/0!</v>
      </c>
      <c r="J61" s="165" t="e">
        <f>'Uncorrected Area Counts'!L61/'Uncorrected Area Counts'!F61*'Plate Planning'!$M$17/'Plate Planning'!$P$23/'Plate Planning'!$M$23*100</f>
        <v>#DIV/0!</v>
      </c>
      <c r="K61" s="165" t="e">
        <f>'Uncorrected Area Counts'!M61/'Uncorrected Area Counts'!F61*'Plate Planning'!$M$17/'Plate Planning'!$P$24/'Plate Planning'!$M$24*100</f>
        <v>#DIV/0!</v>
      </c>
      <c r="L61" s="315"/>
      <c r="M61" s="315"/>
      <c r="N61" s="315"/>
      <c r="O61" s="315"/>
      <c r="P61" s="315"/>
      <c r="Q61" s="315"/>
      <c r="R61" s="315"/>
      <c r="S61" s="315"/>
    </row>
    <row r="62" spans="1:19">
      <c r="A62" s="11">
        <v>59</v>
      </c>
      <c r="B62" s="1">
        <v>11</v>
      </c>
      <c r="C62" s="1">
        <v>5</v>
      </c>
      <c r="D62" s="10" t="s">
        <v>51</v>
      </c>
      <c r="E62" s="165" t="e">
        <f>'Uncorrected Area Counts'!G62/'Uncorrected Area Counts'!F62*'Plate Planning'!$M$17/'Plate Planning'!$P$18/'Plate Planning'!$M$18*100</f>
        <v>#DIV/0!</v>
      </c>
      <c r="F62" s="165" t="e">
        <f>'Uncorrected Area Counts'!H62/'Uncorrected Area Counts'!F62*'Plate Planning'!$M$17/'Plate Planning'!$P$19/'Plate Planning'!$M$19*100</f>
        <v>#DIV/0!</v>
      </c>
      <c r="G62" s="165" t="e">
        <f>'Uncorrected Area Counts'!I62/'Uncorrected Area Counts'!F62*'Plate Planning'!$M$17/'Plate Planning'!$P$20/'Plate Planning'!$M$20*100</f>
        <v>#DIV/0!</v>
      </c>
      <c r="H62" s="165" t="e">
        <f>'Uncorrected Area Counts'!J62/'Uncorrected Area Counts'!F62*'Plate Planning'!$M$17/'Plate Planning'!$P$21/'Plate Planning'!$M$21*100</f>
        <v>#DIV/0!</v>
      </c>
      <c r="I62" s="165" t="e">
        <f>'Uncorrected Area Counts'!K62/'Uncorrected Area Counts'!F62*'Plate Planning'!$M$17/'Plate Planning'!$P$22/'Plate Planning'!$M$22*100</f>
        <v>#DIV/0!</v>
      </c>
      <c r="J62" s="165" t="e">
        <f>'Uncorrected Area Counts'!L62/'Uncorrected Area Counts'!F62*'Plate Planning'!$M$17/'Plate Planning'!$P$23/'Plate Planning'!$M$23*100</f>
        <v>#DIV/0!</v>
      </c>
      <c r="K62" s="165" t="e">
        <f>'Uncorrected Area Counts'!M62/'Uncorrected Area Counts'!F62*'Plate Planning'!$M$17/'Plate Planning'!$P$24/'Plate Planning'!$M$24*100</f>
        <v>#DIV/0!</v>
      </c>
      <c r="L62" s="315"/>
      <c r="M62" s="315"/>
      <c r="N62" s="315"/>
      <c r="O62" s="315"/>
      <c r="P62" s="315"/>
      <c r="Q62" s="315"/>
      <c r="R62" s="315"/>
      <c r="S62" s="315"/>
    </row>
    <row r="63" spans="1:19">
      <c r="A63" s="11">
        <v>60</v>
      </c>
      <c r="B63" s="1">
        <v>12</v>
      </c>
      <c r="C63" s="1">
        <v>5</v>
      </c>
      <c r="D63" s="10" t="s">
        <v>51</v>
      </c>
      <c r="E63" s="165" t="e">
        <f>'Uncorrected Area Counts'!G63/'Uncorrected Area Counts'!F63*'Plate Planning'!$M$17/'Plate Planning'!$P$18/'Plate Planning'!$M$18*100</f>
        <v>#DIV/0!</v>
      </c>
      <c r="F63" s="165" t="e">
        <f>'Uncorrected Area Counts'!H63/'Uncorrected Area Counts'!F63*'Plate Planning'!$M$17/'Plate Planning'!$P$19/'Plate Planning'!$M$19*100</f>
        <v>#DIV/0!</v>
      </c>
      <c r="G63" s="165" t="e">
        <f>'Uncorrected Area Counts'!I63/'Uncorrected Area Counts'!F63*'Plate Planning'!$M$17/'Plate Planning'!$P$20/'Plate Planning'!$M$20*100</f>
        <v>#DIV/0!</v>
      </c>
      <c r="H63" s="165" t="e">
        <f>'Uncorrected Area Counts'!J63/'Uncorrected Area Counts'!F63*'Plate Planning'!$M$17/'Plate Planning'!$P$21/'Plate Planning'!$M$21*100</f>
        <v>#DIV/0!</v>
      </c>
      <c r="I63" s="165" t="e">
        <f>'Uncorrected Area Counts'!K63/'Uncorrected Area Counts'!F63*'Plate Planning'!$M$17/'Plate Planning'!$P$22/'Plate Planning'!$M$22*100</f>
        <v>#DIV/0!</v>
      </c>
      <c r="J63" s="165" t="e">
        <f>'Uncorrected Area Counts'!L63/'Uncorrected Area Counts'!F63*'Plate Planning'!$M$17/'Plate Planning'!$P$23/'Plate Planning'!$M$23*100</f>
        <v>#DIV/0!</v>
      </c>
      <c r="K63" s="165" t="e">
        <f>'Uncorrected Area Counts'!M63/'Uncorrected Area Counts'!F63*'Plate Planning'!$M$17/'Plate Planning'!$P$24/'Plate Planning'!$M$24*100</f>
        <v>#DIV/0!</v>
      </c>
      <c r="L63" s="315"/>
      <c r="M63" s="315"/>
      <c r="N63" s="315"/>
      <c r="O63" s="315"/>
      <c r="P63" s="315"/>
      <c r="Q63" s="315"/>
      <c r="R63" s="315"/>
      <c r="S63" s="315"/>
    </row>
    <row r="64" spans="1:19">
      <c r="A64" s="11">
        <v>61</v>
      </c>
      <c r="B64" s="1">
        <v>1</v>
      </c>
      <c r="C64" s="1">
        <v>6</v>
      </c>
      <c r="D64" s="10" t="s">
        <v>51</v>
      </c>
      <c r="E64" s="165" t="e">
        <f>'Uncorrected Area Counts'!G64/'Uncorrected Area Counts'!F64*'Plate Planning'!$M$17/'Plate Planning'!$P$18/'Plate Planning'!$M$18*100</f>
        <v>#DIV/0!</v>
      </c>
      <c r="F64" s="165" t="e">
        <f>'Uncorrected Area Counts'!H64/'Uncorrected Area Counts'!F64*'Plate Planning'!$M$17/'Plate Planning'!$P$19/'Plate Planning'!$M$19*100</f>
        <v>#DIV/0!</v>
      </c>
      <c r="G64" s="165" t="e">
        <f>'Uncorrected Area Counts'!I64/'Uncorrected Area Counts'!F64*'Plate Planning'!$M$17/'Plate Planning'!$P$20/'Plate Planning'!$M$20*100</f>
        <v>#DIV/0!</v>
      </c>
      <c r="H64" s="165" t="e">
        <f>'Uncorrected Area Counts'!J64/'Uncorrected Area Counts'!F64*'Plate Planning'!$M$17/'Plate Planning'!$P$21/'Plate Planning'!$M$21*100</f>
        <v>#DIV/0!</v>
      </c>
      <c r="I64" s="165" t="e">
        <f>'Uncorrected Area Counts'!K64/'Uncorrected Area Counts'!F64*'Plate Planning'!$M$17/'Plate Planning'!$P$22/'Plate Planning'!$M$22*100</f>
        <v>#DIV/0!</v>
      </c>
      <c r="J64" s="165" t="e">
        <f>'Uncorrected Area Counts'!L64/'Uncorrected Area Counts'!F64*'Plate Planning'!$M$17/'Plate Planning'!$P$23/'Plate Planning'!$M$23*100</f>
        <v>#DIV/0!</v>
      </c>
      <c r="K64" s="165" t="e">
        <f>'Uncorrected Area Counts'!M64/'Uncorrected Area Counts'!F64*'Plate Planning'!$M$17/'Plate Planning'!$P$24/'Plate Planning'!$M$24*100</f>
        <v>#DIV/0!</v>
      </c>
      <c r="L64" s="315"/>
      <c r="M64" s="315"/>
      <c r="N64" s="315"/>
      <c r="O64" s="315"/>
      <c r="P64" s="315"/>
      <c r="Q64" s="315"/>
      <c r="R64" s="315"/>
      <c r="S64" s="315"/>
    </row>
    <row r="65" spans="1:19">
      <c r="A65" s="11">
        <v>62</v>
      </c>
      <c r="B65" s="1">
        <v>2</v>
      </c>
      <c r="C65" s="1">
        <v>6</v>
      </c>
      <c r="D65" s="10" t="s">
        <v>51</v>
      </c>
      <c r="E65" s="165" t="e">
        <f>'Uncorrected Area Counts'!G65/'Uncorrected Area Counts'!F65*'Plate Planning'!$M$17/'Plate Planning'!$P$18/'Plate Planning'!$M$18*100</f>
        <v>#DIV/0!</v>
      </c>
      <c r="F65" s="165" t="e">
        <f>'Uncorrected Area Counts'!H65/'Uncorrected Area Counts'!F65*'Plate Planning'!$M$17/'Plate Planning'!$P$19/'Plate Planning'!$M$19*100</f>
        <v>#DIV/0!</v>
      </c>
      <c r="G65" s="165" t="e">
        <f>'Uncorrected Area Counts'!I65/'Uncorrected Area Counts'!F65*'Plate Planning'!$M$17/'Plate Planning'!$P$20/'Plate Planning'!$M$20*100</f>
        <v>#DIV/0!</v>
      </c>
      <c r="H65" s="165" t="e">
        <f>'Uncorrected Area Counts'!J65/'Uncorrected Area Counts'!F65*'Plate Planning'!$M$17/'Plate Planning'!$P$21/'Plate Planning'!$M$21*100</f>
        <v>#DIV/0!</v>
      </c>
      <c r="I65" s="165" t="e">
        <f>'Uncorrected Area Counts'!K65/'Uncorrected Area Counts'!F65*'Plate Planning'!$M$17/'Plate Planning'!$P$22/'Plate Planning'!$M$22*100</f>
        <v>#DIV/0!</v>
      </c>
      <c r="J65" s="165" t="e">
        <f>'Uncorrected Area Counts'!L65/'Uncorrected Area Counts'!F65*'Plate Planning'!$M$17/'Plate Planning'!$P$23/'Plate Planning'!$M$23*100</f>
        <v>#DIV/0!</v>
      </c>
      <c r="K65" s="165" t="e">
        <f>'Uncorrected Area Counts'!M65/'Uncorrected Area Counts'!F65*'Plate Planning'!$M$17/'Plate Planning'!$P$24/'Plate Planning'!$M$24*100</f>
        <v>#DIV/0!</v>
      </c>
      <c r="L65" s="315"/>
      <c r="M65" s="315"/>
      <c r="N65" s="315"/>
      <c r="O65" s="315"/>
      <c r="P65" s="315"/>
      <c r="Q65" s="315"/>
      <c r="R65" s="315"/>
      <c r="S65" s="315"/>
    </row>
    <row r="66" spans="1:19">
      <c r="A66" s="11">
        <v>63</v>
      </c>
      <c r="B66" s="1">
        <v>3</v>
      </c>
      <c r="C66" s="1">
        <v>6</v>
      </c>
      <c r="D66" s="10" t="s">
        <v>51</v>
      </c>
      <c r="E66" s="165" t="e">
        <f>'Uncorrected Area Counts'!G66/'Uncorrected Area Counts'!F66*'Plate Planning'!$M$17/'Plate Planning'!$P$18/'Plate Planning'!$M$18*100</f>
        <v>#DIV/0!</v>
      </c>
      <c r="F66" s="165" t="e">
        <f>'Uncorrected Area Counts'!H66/'Uncorrected Area Counts'!F66*'Plate Planning'!$M$17/'Plate Planning'!$P$19/'Plate Planning'!$M$19*100</f>
        <v>#DIV/0!</v>
      </c>
      <c r="G66" s="165" t="e">
        <f>'Uncorrected Area Counts'!I66/'Uncorrected Area Counts'!F66*'Plate Planning'!$M$17/'Plate Planning'!$P$20/'Plate Planning'!$M$20*100</f>
        <v>#DIV/0!</v>
      </c>
      <c r="H66" s="165" t="e">
        <f>'Uncorrected Area Counts'!J66/'Uncorrected Area Counts'!F66*'Plate Planning'!$M$17/'Plate Planning'!$P$21/'Plate Planning'!$M$21*100</f>
        <v>#DIV/0!</v>
      </c>
      <c r="I66" s="165" t="e">
        <f>'Uncorrected Area Counts'!K66/'Uncorrected Area Counts'!F66*'Plate Planning'!$M$17/'Plate Planning'!$P$22/'Plate Planning'!$M$22*100</f>
        <v>#DIV/0!</v>
      </c>
      <c r="J66" s="165" t="e">
        <f>'Uncorrected Area Counts'!L66/'Uncorrected Area Counts'!F66*'Plate Planning'!$M$17/'Plate Planning'!$P$23/'Plate Planning'!$M$23*100</f>
        <v>#DIV/0!</v>
      </c>
      <c r="K66" s="165" t="e">
        <f>'Uncorrected Area Counts'!M66/'Uncorrected Area Counts'!F66*'Plate Planning'!$M$17/'Plate Planning'!$P$24/'Plate Planning'!$M$24*100</f>
        <v>#DIV/0!</v>
      </c>
      <c r="L66" s="315"/>
      <c r="M66" s="315"/>
      <c r="N66" s="315"/>
      <c r="O66" s="315"/>
      <c r="P66" s="315"/>
      <c r="Q66" s="315"/>
      <c r="R66" s="315"/>
      <c r="S66" s="315"/>
    </row>
    <row r="67" spans="1:19">
      <c r="A67" s="11">
        <v>64</v>
      </c>
      <c r="B67" s="1">
        <v>4</v>
      </c>
      <c r="C67" s="1">
        <v>6</v>
      </c>
      <c r="D67" s="10" t="s">
        <v>51</v>
      </c>
      <c r="E67" s="165" t="e">
        <f>'Uncorrected Area Counts'!G67/'Uncorrected Area Counts'!F67*'Plate Planning'!$M$17/'Plate Planning'!$P$18/'Plate Planning'!$M$18*100</f>
        <v>#DIV/0!</v>
      </c>
      <c r="F67" s="165" t="e">
        <f>'Uncorrected Area Counts'!H67/'Uncorrected Area Counts'!F67*'Plate Planning'!$M$17/'Plate Planning'!$P$19/'Plate Planning'!$M$19*100</f>
        <v>#DIV/0!</v>
      </c>
      <c r="G67" s="165" t="e">
        <f>'Uncorrected Area Counts'!I67/'Uncorrected Area Counts'!F67*'Plate Planning'!$M$17/'Plate Planning'!$P$20/'Plate Planning'!$M$20*100</f>
        <v>#DIV/0!</v>
      </c>
      <c r="H67" s="165" t="e">
        <f>'Uncorrected Area Counts'!J67/'Uncorrected Area Counts'!F67*'Plate Planning'!$M$17/'Plate Planning'!$P$21/'Plate Planning'!$M$21*100</f>
        <v>#DIV/0!</v>
      </c>
      <c r="I67" s="165" t="e">
        <f>'Uncorrected Area Counts'!K67/'Uncorrected Area Counts'!F67*'Plate Planning'!$M$17/'Plate Planning'!$P$22/'Plate Planning'!$M$22*100</f>
        <v>#DIV/0!</v>
      </c>
      <c r="J67" s="165" t="e">
        <f>'Uncorrected Area Counts'!L67/'Uncorrected Area Counts'!F67*'Plate Planning'!$M$17/'Plate Planning'!$P$23/'Plate Planning'!$M$23*100</f>
        <v>#DIV/0!</v>
      </c>
      <c r="K67" s="165" t="e">
        <f>'Uncorrected Area Counts'!M67/'Uncorrected Area Counts'!F67*'Plate Planning'!$M$17/'Plate Planning'!$P$24/'Plate Planning'!$M$24*100</f>
        <v>#DIV/0!</v>
      </c>
      <c r="L67" s="315"/>
      <c r="M67" s="315"/>
      <c r="N67" s="315"/>
      <c r="O67" s="315"/>
      <c r="P67" s="315"/>
      <c r="Q67" s="315"/>
      <c r="R67" s="315"/>
      <c r="S67" s="315"/>
    </row>
    <row r="68" spans="1:19">
      <c r="A68" s="11">
        <v>65</v>
      </c>
      <c r="B68" s="1">
        <v>5</v>
      </c>
      <c r="C68" s="1">
        <v>6</v>
      </c>
      <c r="D68" s="10" t="s">
        <v>51</v>
      </c>
      <c r="E68" s="165" t="e">
        <f>'Uncorrected Area Counts'!G68/'Uncorrected Area Counts'!F68*'Plate Planning'!$M$17/'Plate Planning'!$P$18/'Plate Planning'!$M$18*100</f>
        <v>#DIV/0!</v>
      </c>
      <c r="F68" s="165" t="e">
        <f>'Uncorrected Area Counts'!H68/'Uncorrected Area Counts'!F68*'Plate Planning'!$M$17/'Plate Planning'!$P$19/'Plate Planning'!$M$19*100</f>
        <v>#DIV/0!</v>
      </c>
      <c r="G68" s="165" t="e">
        <f>'Uncorrected Area Counts'!I68/'Uncorrected Area Counts'!F68*'Plate Planning'!$M$17/'Plate Planning'!$P$20/'Plate Planning'!$M$20*100</f>
        <v>#DIV/0!</v>
      </c>
      <c r="H68" s="165" t="e">
        <f>'Uncorrected Area Counts'!J68/'Uncorrected Area Counts'!F68*'Plate Planning'!$M$17/'Plate Planning'!$P$21/'Plate Planning'!$M$21*100</f>
        <v>#DIV/0!</v>
      </c>
      <c r="I68" s="165" t="e">
        <f>'Uncorrected Area Counts'!K68/'Uncorrected Area Counts'!F68*'Plate Planning'!$M$17/'Plate Planning'!$P$22/'Plate Planning'!$M$22*100</f>
        <v>#DIV/0!</v>
      </c>
      <c r="J68" s="165" t="e">
        <f>'Uncorrected Area Counts'!L68/'Uncorrected Area Counts'!F68*'Plate Planning'!$M$17/'Plate Planning'!$P$23/'Plate Planning'!$M$23*100</f>
        <v>#DIV/0!</v>
      </c>
      <c r="K68" s="165" t="e">
        <f>'Uncorrected Area Counts'!M68/'Uncorrected Area Counts'!F68*'Plate Planning'!$M$17/'Plate Planning'!$P$24/'Plate Planning'!$M$24*100</f>
        <v>#DIV/0!</v>
      </c>
      <c r="L68" s="315"/>
      <c r="M68" s="315"/>
      <c r="N68" s="315"/>
      <c r="O68" s="315"/>
      <c r="P68" s="315"/>
      <c r="Q68" s="315"/>
      <c r="R68" s="315"/>
      <c r="S68" s="315"/>
    </row>
    <row r="69" spans="1:19">
      <c r="A69" s="11">
        <v>66</v>
      </c>
      <c r="B69" s="1">
        <v>6</v>
      </c>
      <c r="C69" s="1">
        <v>6</v>
      </c>
      <c r="D69" s="10" t="s">
        <v>51</v>
      </c>
      <c r="E69" s="165" t="e">
        <f>'Uncorrected Area Counts'!G69/'Uncorrected Area Counts'!F69*'Plate Planning'!$M$17/'Plate Planning'!$P$18/'Plate Planning'!$M$18*100</f>
        <v>#DIV/0!</v>
      </c>
      <c r="F69" s="165" t="e">
        <f>'Uncorrected Area Counts'!H69/'Uncorrected Area Counts'!F69*'Plate Planning'!$M$17/'Plate Planning'!$P$19/'Plate Planning'!$M$19*100</f>
        <v>#DIV/0!</v>
      </c>
      <c r="G69" s="165" t="e">
        <f>'Uncorrected Area Counts'!I69/'Uncorrected Area Counts'!F69*'Plate Planning'!$M$17/'Plate Planning'!$P$20/'Plate Planning'!$M$20*100</f>
        <v>#DIV/0!</v>
      </c>
      <c r="H69" s="165" t="e">
        <f>'Uncorrected Area Counts'!J69/'Uncorrected Area Counts'!F69*'Plate Planning'!$M$17/'Plate Planning'!$P$21/'Plate Planning'!$M$21*100</f>
        <v>#DIV/0!</v>
      </c>
      <c r="I69" s="165" t="e">
        <f>'Uncorrected Area Counts'!K69/'Uncorrected Area Counts'!F69*'Plate Planning'!$M$17/'Plate Planning'!$P$22/'Plate Planning'!$M$22*100</f>
        <v>#DIV/0!</v>
      </c>
      <c r="J69" s="165" t="e">
        <f>'Uncorrected Area Counts'!L69/'Uncorrected Area Counts'!F69*'Plate Planning'!$M$17/'Plate Planning'!$P$23/'Plate Planning'!$M$23*100</f>
        <v>#DIV/0!</v>
      </c>
      <c r="K69" s="165" t="e">
        <f>'Uncorrected Area Counts'!M69/'Uncorrected Area Counts'!F69*'Plate Planning'!$M$17/'Plate Planning'!$P$24/'Plate Planning'!$M$24*100</f>
        <v>#DIV/0!</v>
      </c>
      <c r="L69" s="315"/>
      <c r="M69" s="315"/>
      <c r="N69" s="315"/>
      <c r="O69" s="315"/>
      <c r="P69" s="315"/>
      <c r="Q69" s="315"/>
      <c r="R69" s="315"/>
      <c r="S69" s="315"/>
    </row>
    <row r="70" spans="1:19">
      <c r="A70" s="11">
        <v>67</v>
      </c>
      <c r="B70" s="1">
        <v>7</v>
      </c>
      <c r="C70" s="1">
        <v>6</v>
      </c>
      <c r="D70" s="10" t="s">
        <v>51</v>
      </c>
      <c r="E70" s="165" t="e">
        <f>'Uncorrected Area Counts'!G70/'Uncorrected Area Counts'!F70*'Plate Planning'!$M$17/'Plate Planning'!$P$18/'Plate Planning'!$M$18*100</f>
        <v>#DIV/0!</v>
      </c>
      <c r="F70" s="165" t="e">
        <f>'Uncorrected Area Counts'!H70/'Uncorrected Area Counts'!F70*'Plate Planning'!$M$17/'Plate Planning'!$P$19/'Plate Planning'!$M$19*100</f>
        <v>#DIV/0!</v>
      </c>
      <c r="G70" s="165" t="e">
        <f>'Uncorrected Area Counts'!I70/'Uncorrected Area Counts'!F70*'Plate Planning'!$M$17/'Plate Planning'!$P$20/'Plate Planning'!$M$20*100</f>
        <v>#DIV/0!</v>
      </c>
      <c r="H70" s="165" t="e">
        <f>'Uncorrected Area Counts'!J70/'Uncorrected Area Counts'!F70*'Plate Planning'!$M$17/'Plate Planning'!$P$21/'Plate Planning'!$M$21*100</f>
        <v>#DIV/0!</v>
      </c>
      <c r="I70" s="165" t="e">
        <f>'Uncorrected Area Counts'!K70/'Uncorrected Area Counts'!F70*'Plate Planning'!$M$17/'Plate Planning'!$P$22/'Plate Planning'!$M$22*100</f>
        <v>#DIV/0!</v>
      </c>
      <c r="J70" s="165" t="e">
        <f>'Uncorrected Area Counts'!L70/'Uncorrected Area Counts'!F70*'Plate Planning'!$M$17/'Plate Planning'!$P$23/'Plate Planning'!$M$23*100</f>
        <v>#DIV/0!</v>
      </c>
      <c r="K70" s="165" t="e">
        <f>'Uncorrected Area Counts'!M70/'Uncorrected Area Counts'!F70*'Plate Planning'!$M$17/'Plate Planning'!$P$24/'Plate Planning'!$M$24*100</f>
        <v>#DIV/0!</v>
      </c>
      <c r="L70" s="315"/>
      <c r="M70" s="315"/>
      <c r="N70" s="315"/>
      <c r="O70" s="315"/>
      <c r="P70" s="315"/>
      <c r="Q70" s="315"/>
      <c r="R70" s="315"/>
      <c r="S70" s="315"/>
    </row>
    <row r="71" spans="1:19">
      <c r="A71" s="11">
        <v>68</v>
      </c>
      <c r="B71" s="1">
        <v>8</v>
      </c>
      <c r="C71" s="1">
        <v>6</v>
      </c>
      <c r="D71" s="10" t="s">
        <v>51</v>
      </c>
      <c r="E71" s="165" t="e">
        <f>'Uncorrected Area Counts'!G71/'Uncorrected Area Counts'!F71*'Plate Planning'!$M$17/'Plate Planning'!$P$18/'Plate Planning'!$M$18*100</f>
        <v>#DIV/0!</v>
      </c>
      <c r="F71" s="165" t="e">
        <f>'Uncorrected Area Counts'!H71/'Uncorrected Area Counts'!F71*'Plate Planning'!$M$17/'Plate Planning'!$P$19/'Plate Planning'!$M$19*100</f>
        <v>#DIV/0!</v>
      </c>
      <c r="G71" s="165" t="e">
        <f>'Uncorrected Area Counts'!I71/'Uncorrected Area Counts'!F71*'Plate Planning'!$M$17/'Plate Planning'!$P$20/'Plate Planning'!$M$20*100</f>
        <v>#DIV/0!</v>
      </c>
      <c r="H71" s="165" t="e">
        <f>'Uncorrected Area Counts'!J71/'Uncorrected Area Counts'!F71*'Plate Planning'!$M$17/'Plate Planning'!$P$21/'Plate Planning'!$M$21*100</f>
        <v>#DIV/0!</v>
      </c>
      <c r="I71" s="165" t="e">
        <f>'Uncorrected Area Counts'!K71/'Uncorrected Area Counts'!F71*'Plate Planning'!$M$17/'Plate Planning'!$P$22/'Plate Planning'!$M$22*100</f>
        <v>#DIV/0!</v>
      </c>
      <c r="J71" s="165" t="e">
        <f>'Uncorrected Area Counts'!L71/'Uncorrected Area Counts'!F71*'Plate Planning'!$M$17/'Plate Planning'!$P$23/'Plate Planning'!$M$23*100</f>
        <v>#DIV/0!</v>
      </c>
      <c r="K71" s="165" t="e">
        <f>'Uncorrected Area Counts'!M71/'Uncorrected Area Counts'!F71*'Plate Planning'!$M$17/'Plate Planning'!$P$24/'Plate Planning'!$M$24*100</f>
        <v>#DIV/0!</v>
      </c>
      <c r="L71" s="315"/>
      <c r="M71" s="315"/>
      <c r="N71" s="315"/>
      <c r="O71" s="315"/>
      <c r="P71" s="315"/>
      <c r="Q71" s="315"/>
      <c r="R71" s="315"/>
      <c r="S71" s="315"/>
    </row>
    <row r="72" spans="1:19">
      <c r="A72" s="11">
        <v>69</v>
      </c>
      <c r="B72" s="1">
        <v>9</v>
      </c>
      <c r="C72" s="1">
        <v>6</v>
      </c>
      <c r="D72" s="10" t="s">
        <v>51</v>
      </c>
      <c r="E72" s="165" t="e">
        <f>'Uncorrected Area Counts'!G72/'Uncorrected Area Counts'!F72*'Plate Planning'!$M$17/'Plate Planning'!$P$18/'Plate Planning'!$M$18*100</f>
        <v>#DIV/0!</v>
      </c>
      <c r="F72" s="165" t="e">
        <f>'Uncorrected Area Counts'!H72/'Uncorrected Area Counts'!F72*'Plate Planning'!$M$17/'Plate Planning'!$P$19/'Plate Planning'!$M$19*100</f>
        <v>#DIV/0!</v>
      </c>
      <c r="G72" s="165" t="e">
        <f>'Uncorrected Area Counts'!I72/'Uncorrected Area Counts'!F72*'Plate Planning'!$M$17/'Plate Planning'!$P$20/'Plate Planning'!$M$20*100</f>
        <v>#DIV/0!</v>
      </c>
      <c r="H72" s="165" t="e">
        <f>'Uncorrected Area Counts'!J72/'Uncorrected Area Counts'!F72*'Plate Planning'!$M$17/'Plate Planning'!$P$21/'Plate Planning'!$M$21*100</f>
        <v>#DIV/0!</v>
      </c>
      <c r="I72" s="165" t="e">
        <f>'Uncorrected Area Counts'!K72/'Uncorrected Area Counts'!F72*'Plate Planning'!$M$17/'Plate Planning'!$P$22/'Plate Planning'!$M$22*100</f>
        <v>#DIV/0!</v>
      </c>
      <c r="J72" s="165" t="e">
        <f>'Uncorrected Area Counts'!L72/'Uncorrected Area Counts'!F72*'Plate Planning'!$M$17/'Plate Planning'!$P$23/'Plate Planning'!$M$23*100</f>
        <v>#DIV/0!</v>
      </c>
      <c r="K72" s="165" t="e">
        <f>'Uncorrected Area Counts'!M72/'Uncorrected Area Counts'!F72*'Plate Planning'!$M$17/'Plate Planning'!$P$24/'Plate Planning'!$M$24*100</f>
        <v>#DIV/0!</v>
      </c>
      <c r="L72" s="315"/>
      <c r="M72" s="315"/>
      <c r="N72" s="315"/>
      <c r="O72" s="315"/>
      <c r="P72" s="315"/>
      <c r="Q72" s="315"/>
      <c r="R72" s="315"/>
      <c r="S72" s="315"/>
    </row>
    <row r="73" spans="1:19">
      <c r="A73" s="11">
        <v>70</v>
      </c>
      <c r="B73" s="1">
        <v>10</v>
      </c>
      <c r="C73" s="1">
        <v>6</v>
      </c>
      <c r="D73" s="10" t="s">
        <v>51</v>
      </c>
      <c r="E73" s="165" t="e">
        <f>'Uncorrected Area Counts'!G73/'Uncorrected Area Counts'!F73*'Plate Planning'!$M$17/'Plate Planning'!$P$18/'Plate Planning'!$M$18*100</f>
        <v>#DIV/0!</v>
      </c>
      <c r="F73" s="165" t="e">
        <f>'Uncorrected Area Counts'!H73/'Uncorrected Area Counts'!F73*'Plate Planning'!$M$17/'Plate Planning'!$P$19/'Plate Planning'!$M$19*100</f>
        <v>#DIV/0!</v>
      </c>
      <c r="G73" s="165" t="e">
        <f>'Uncorrected Area Counts'!I73/'Uncorrected Area Counts'!F73*'Plate Planning'!$M$17/'Plate Planning'!$P$20/'Plate Planning'!$M$20*100</f>
        <v>#DIV/0!</v>
      </c>
      <c r="H73" s="165" t="e">
        <f>'Uncorrected Area Counts'!J73/'Uncorrected Area Counts'!F73*'Plate Planning'!$M$17/'Plate Planning'!$P$21/'Plate Planning'!$M$21*100</f>
        <v>#DIV/0!</v>
      </c>
      <c r="I73" s="165" t="e">
        <f>'Uncorrected Area Counts'!K73/'Uncorrected Area Counts'!F73*'Plate Planning'!$M$17/'Plate Planning'!$P$22/'Plate Planning'!$M$22*100</f>
        <v>#DIV/0!</v>
      </c>
      <c r="J73" s="165" t="e">
        <f>'Uncorrected Area Counts'!L73/'Uncorrected Area Counts'!F73*'Plate Planning'!$M$17/'Plate Planning'!$P$23/'Plate Planning'!$M$23*100</f>
        <v>#DIV/0!</v>
      </c>
      <c r="K73" s="165" t="e">
        <f>'Uncorrected Area Counts'!M73/'Uncorrected Area Counts'!F73*'Plate Planning'!$M$17/'Plate Planning'!$P$24/'Plate Planning'!$M$24*100</f>
        <v>#DIV/0!</v>
      </c>
      <c r="L73" s="315"/>
      <c r="M73" s="315"/>
      <c r="N73" s="315"/>
      <c r="O73" s="315"/>
      <c r="P73" s="315"/>
      <c r="Q73" s="315"/>
      <c r="R73" s="315"/>
      <c r="S73" s="315"/>
    </row>
    <row r="74" spans="1:19">
      <c r="A74" s="11">
        <v>71</v>
      </c>
      <c r="B74" s="1">
        <v>11</v>
      </c>
      <c r="C74" s="1">
        <v>6</v>
      </c>
      <c r="D74" s="10" t="s">
        <v>51</v>
      </c>
      <c r="E74" s="165" t="e">
        <f>'Uncorrected Area Counts'!G74/'Uncorrected Area Counts'!F74*'Plate Planning'!$M$17/'Plate Planning'!$P$18/'Plate Planning'!$M$18*100</f>
        <v>#DIV/0!</v>
      </c>
      <c r="F74" s="165" t="e">
        <f>'Uncorrected Area Counts'!H74/'Uncorrected Area Counts'!F74*'Plate Planning'!$M$17/'Plate Planning'!$P$19/'Plate Planning'!$M$19*100</f>
        <v>#DIV/0!</v>
      </c>
      <c r="G74" s="165" t="e">
        <f>'Uncorrected Area Counts'!I74/'Uncorrected Area Counts'!F74*'Plate Planning'!$M$17/'Plate Planning'!$P$20/'Plate Planning'!$M$20*100</f>
        <v>#DIV/0!</v>
      </c>
      <c r="H74" s="165" t="e">
        <f>'Uncorrected Area Counts'!J74/'Uncorrected Area Counts'!F74*'Plate Planning'!$M$17/'Plate Planning'!$P$21/'Plate Planning'!$M$21*100</f>
        <v>#DIV/0!</v>
      </c>
      <c r="I74" s="165" t="e">
        <f>'Uncorrected Area Counts'!K74/'Uncorrected Area Counts'!F74*'Plate Planning'!$M$17/'Plate Planning'!$P$22/'Plate Planning'!$M$22*100</f>
        <v>#DIV/0!</v>
      </c>
      <c r="J74" s="165" t="e">
        <f>'Uncorrected Area Counts'!L74/'Uncorrected Area Counts'!F74*'Plate Planning'!$M$17/'Plate Planning'!$P$23/'Plate Planning'!$M$23*100</f>
        <v>#DIV/0!</v>
      </c>
      <c r="K74" s="165" t="e">
        <f>'Uncorrected Area Counts'!M74/'Uncorrected Area Counts'!F74*'Plate Planning'!$M$17/'Plate Planning'!$P$24/'Plate Planning'!$M$24*100</f>
        <v>#DIV/0!</v>
      </c>
      <c r="L74" s="315"/>
      <c r="M74" s="315"/>
      <c r="N74" s="315"/>
      <c r="O74" s="315"/>
      <c r="P74" s="315"/>
      <c r="Q74" s="315"/>
      <c r="R74" s="315"/>
      <c r="S74" s="315"/>
    </row>
    <row r="75" spans="1:19">
      <c r="A75" s="11">
        <v>72</v>
      </c>
      <c r="B75" s="1">
        <v>12</v>
      </c>
      <c r="C75" s="1">
        <v>6</v>
      </c>
      <c r="D75" s="10" t="s">
        <v>51</v>
      </c>
      <c r="E75" s="165" t="e">
        <f>'Uncorrected Area Counts'!G75/'Uncorrected Area Counts'!F75*'Plate Planning'!$M$17/'Plate Planning'!$P$18/'Plate Planning'!$M$18*100</f>
        <v>#DIV/0!</v>
      </c>
      <c r="F75" s="165" t="e">
        <f>'Uncorrected Area Counts'!H75/'Uncorrected Area Counts'!F75*'Plate Planning'!$M$17/'Plate Planning'!$P$19/'Plate Planning'!$M$19*100</f>
        <v>#DIV/0!</v>
      </c>
      <c r="G75" s="165" t="e">
        <f>'Uncorrected Area Counts'!I75/'Uncorrected Area Counts'!F75*'Plate Planning'!$M$17/'Plate Planning'!$P$20/'Plate Planning'!$M$20*100</f>
        <v>#DIV/0!</v>
      </c>
      <c r="H75" s="165" t="e">
        <f>'Uncorrected Area Counts'!J75/'Uncorrected Area Counts'!F75*'Plate Planning'!$M$17/'Plate Planning'!$P$21/'Plate Planning'!$M$21*100</f>
        <v>#DIV/0!</v>
      </c>
      <c r="I75" s="165" t="e">
        <f>'Uncorrected Area Counts'!K75/'Uncorrected Area Counts'!F75*'Plate Planning'!$M$17/'Plate Planning'!$P$22/'Plate Planning'!$M$22*100</f>
        <v>#DIV/0!</v>
      </c>
      <c r="J75" s="165" t="e">
        <f>'Uncorrected Area Counts'!L75/'Uncorrected Area Counts'!F75*'Plate Planning'!$M$17/'Plate Planning'!$P$23/'Plate Planning'!$M$23*100</f>
        <v>#DIV/0!</v>
      </c>
      <c r="K75" s="165" t="e">
        <f>'Uncorrected Area Counts'!M75/'Uncorrected Area Counts'!F75*'Plate Planning'!$M$17/'Plate Planning'!$P$24/'Plate Planning'!$M$24*100</f>
        <v>#DIV/0!</v>
      </c>
      <c r="L75" s="315"/>
      <c r="M75" s="315"/>
      <c r="N75" s="315"/>
      <c r="O75" s="315"/>
      <c r="P75" s="315"/>
      <c r="Q75" s="315"/>
      <c r="R75" s="315"/>
      <c r="S75" s="315"/>
    </row>
    <row r="76" spans="1:19">
      <c r="A76" s="11">
        <v>73</v>
      </c>
      <c r="B76" s="1">
        <v>1</v>
      </c>
      <c r="C76" s="1">
        <v>7</v>
      </c>
      <c r="D76" s="10" t="s">
        <v>51</v>
      </c>
      <c r="E76" s="165" t="e">
        <f>'Uncorrected Area Counts'!G76/'Uncorrected Area Counts'!F76*'Plate Planning'!$M$17/'Plate Planning'!$P$18/'Plate Planning'!$M$18*100</f>
        <v>#DIV/0!</v>
      </c>
      <c r="F76" s="165" t="e">
        <f>'Uncorrected Area Counts'!H76/'Uncorrected Area Counts'!F76*'Plate Planning'!$M$17/'Plate Planning'!$P$19/'Plate Planning'!$M$19*100</f>
        <v>#DIV/0!</v>
      </c>
      <c r="G76" s="165" t="e">
        <f>'Uncorrected Area Counts'!I76/'Uncorrected Area Counts'!F76*'Plate Planning'!$M$17/'Plate Planning'!$P$20/'Plate Planning'!$M$20*100</f>
        <v>#DIV/0!</v>
      </c>
      <c r="H76" s="165" t="e">
        <f>'Uncorrected Area Counts'!J76/'Uncorrected Area Counts'!F76*'Plate Planning'!$M$17/'Plate Planning'!$P$21/'Plate Planning'!$M$21*100</f>
        <v>#DIV/0!</v>
      </c>
      <c r="I76" s="165" t="e">
        <f>'Uncorrected Area Counts'!K76/'Uncorrected Area Counts'!F76*'Plate Planning'!$M$17/'Plate Planning'!$P$22/'Plate Planning'!$M$22*100</f>
        <v>#DIV/0!</v>
      </c>
      <c r="J76" s="165" t="e">
        <f>'Uncorrected Area Counts'!L76/'Uncorrected Area Counts'!F76*'Plate Planning'!$M$17/'Plate Planning'!$P$23/'Plate Planning'!$M$23*100</f>
        <v>#DIV/0!</v>
      </c>
      <c r="K76" s="165" t="e">
        <f>'Uncorrected Area Counts'!M76/'Uncorrected Area Counts'!F76*'Plate Planning'!$M$17/'Plate Planning'!$P$24/'Plate Planning'!$M$24*100</f>
        <v>#DIV/0!</v>
      </c>
      <c r="L76" s="315"/>
      <c r="M76" s="315"/>
      <c r="N76" s="315"/>
      <c r="O76" s="315"/>
      <c r="P76" s="315"/>
      <c r="Q76" s="315"/>
      <c r="R76" s="315"/>
      <c r="S76" s="315"/>
    </row>
    <row r="77" spans="1:19">
      <c r="A77" s="11">
        <v>74</v>
      </c>
      <c r="B77" s="1">
        <v>2</v>
      </c>
      <c r="C77" s="1">
        <v>7</v>
      </c>
      <c r="D77" s="10" t="s">
        <v>51</v>
      </c>
      <c r="E77" s="165" t="e">
        <f>'Uncorrected Area Counts'!G77/'Uncorrected Area Counts'!F77*'Plate Planning'!$M$17/'Plate Planning'!$P$18/'Plate Planning'!$M$18*100</f>
        <v>#DIV/0!</v>
      </c>
      <c r="F77" s="165" t="e">
        <f>'Uncorrected Area Counts'!H77/'Uncorrected Area Counts'!F77*'Plate Planning'!$M$17/'Plate Planning'!$P$19/'Plate Planning'!$M$19*100</f>
        <v>#DIV/0!</v>
      </c>
      <c r="G77" s="165" t="e">
        <f>'Uncorrected Area Counts'!I77/'Uncorrected Area Counts'!F77*'Plate Planning'!$M$17/'Plate Planning'!$P$20/'Plate Planning'!$M$20*100</f>
        <v>#DIV/0!</v>
      </c>
      <c r="H77" s="165" t="e">
        <f>'Uncorrected Area Counts'!J77/'Uncorrected Area Counts'!F77*'Plate Planning'!$M$17/'Plate Planning'!$P$21/'Plate Planning'!$M$21*100</f>
        <v>#DIV/0!</v>
      </c>
      <c r="I77" s="165" t="e">
        <f>'Uncorrected Area Counts'!K77/'Uncorrected Area Counts'!F77*'Plate Planning'!$M$17/'Plate Planning'!$P$22/'Plate Planning'!$M$22*100</f>
        <v>#DIV/0!</v>
      </c>
      <c r="J77" s="165" t="e">
        <f>'Uncorrected Area Counts'!L77/'Uncorrected Area Counts'!F77*'Plate Planning'!$M$17/'Plate Planning'!$P$23/'Plate Planning'!$M$23*100</f>
        <v>#DIV/0!</v>
      </c>
      <c r="K77" s="165" t="e">
        <f>'Uncorrected Area Counts'!M77/'Uncorrected Area Counts'!F77*'Plate Planning'!$M$17/'Plate Planning'!$P$24/'Plate Planning'!$M$24*100</f>
        <v>#DIV/0!</v>
      </c>
      <c r="L77" s="315"/>
      <c r="M77" s="315"/>
      <c r="N77" s="315"/>
      <c r="O77" s="315"/>
      <c r="P77" s="315"/>
      <c r="Q77" s="315"/>
      <c r="R77" s="315"/>
      <c r="S77" s="315"/>
    </row>
    <row r="78" spans="1:19">
      <c r="A78" s="11">
        <v>75</v>
      </c>
      <c r="B78" s="1">
        <v>3</v>
      </c>
      <c r="C78" s="1">
        <v>7</v>
      </c>
      <c r="D78" s="10" t="s">
        <v>51</v>
      </c>
      <c r="E78" s="165" t="e">
        <f>'Uncorrected Area Counts'!G78/'Uncorrected Area Counts'!F78*'Plate Planning'!$M$17/'Plate Planning'!$P$18/'Plate Planning'!$M$18*100</f>
        <v>#DIV/0!</v>
      </c>
      <c r="F78" s="165" t="e">
        <f>'Uncorrected Area Counts'!H78/'Uncorrected Area Counts'!F78*'Plate Planning'!$M$17/'Plate Planning'!$P$19/'Plate Planning'!$M$19*100</f>
        <v>#DIV/0!</v>
      </c>
      <c r="G78" s="165" t="e">
        <f>'Uncorrected Area Counts'!I78/'Uncorrected Area Counts'!F78*'Plate Planning'!$M$17/'Plate Planning'!$P$20/'Plate Planning'!$M$20*100</f>
        <v>#DIV/0!</v>
      </c>
      <c r="H78" s="165" t="e">
        <f>'Uncorrected Area Counts'!J78/'Uncorrected Area Counts'!F78*'Plate Planning'!$M$17/'Plate Planning'!$P$21/'Plate Planning'!$M$21*100</f>
        <v>#DIV/0!</v>
      </c>
      <c r="I78" s="165" t="e">
        <f>'Uncorrected Area Counts'!K78/'Uncorrected Area Counts'!F78*'Plate Planning'!$M$17/'Plate Planning'!$P$22/'Plate Planning'!$M$22*100</f>
        <v>#DIV/0!</v>
      </c>
      <c r="J78" s="165" t="e">
        <f>'Uncorrected Area Counts'!L78/'Uncorrected Area Counts'!F78*'Plate Planning'!$M$17/'Plate Planning'!$P$23/'Plate Planning'!$M$23*100</f>
        <v>#DIV/0!</v>
      </c>
      <c r="K78" s="165" t="e">
        <f>'Uncorrected Area Counts'!M78/'Uncorrected Area Counts'!F78*'Plate Planning'!$M$17/'Plate Planning'!$P$24/'Plate Planning'!$M$24*100</f>
        <v>#DIV/0!</v>
      </c>
      <c r="L78" s="315"/>
      <c r="M78" s="315"/>
      <c r="N78" s="315"/>
      <c r="O78" s="315"/>
      <c r="P78" s="315"/>
      <c r="Q78" s="315"/>
      <c r="R78" s="315"/>
      <c r="S78" s="315"/>
    </row>
    <row r="79" spans="1:19">
      <c r="A79" s="11">
        <v>76</v>
      </c>
      <c r="B79" s="1">
        <v>4</v>
      </c>
      <c r="C79" s="1">
        <v>7</v>
      </c>
      <c r="D79" s="10" t="s">
        <v>51</v>
      </c>
      <c r="E79" s="165" t="e">
        <f>'Uncorrected Area Counts'!G79/'Uncorrected Area Counts'!F79*'Plate Planning'!$M$17/'Plate Planning'!$P$18/'Plate Planning'!$M$18*100</f>
        <v>#DIV/0!</v>
      </c>
      <c r="F79" s="165" t="e">
        <f>'Uncorrected Area Counts'!H79/'Uncorrected Area Counts'!F79*'Plate Planning'!$M$17/'Plate Planning'!$P$19/'Plate Planning'!$M$19*100</f>
        <v>#DIV/0!</v>
      </c>
      <c r="G79" s="165" t="e">
        <f>'Uncorrected Area Counts'!I79/'Uncorrected Area Counts'!F79*'Plate Planning'!$M$17/'Plate Planning'!$P$20/'Plate Planning'!$M$20*100</f>
        <v>#DIV/0!</v>
      </c>
      <c r="H79" s="165" t="e">
        <f>'Uncorrected Area Counts'!J79/'Uncorrected Area Counts'!F79*'Plate Planning'!$M$17/'Plate Planning'!$P$21/'Plate Planning'!$M$21*100</f>
        <v>#DIV/0!</v>
      </c>
      <c r="I79" s="165" t="e">
        <f>'Uncorrected Area Counts'!K79/'Uncorrected Area Counts'!F79*'Plate Planning'!$M$17/'Plate Planning'!$P$22/'Plate Planning'!$M$22*100</f>
        <v>#DIV/0!</v>
      </c>
      <c r="J79" s="165" t="e">
        <f>'Uncorrected Area Counts'!L79/'Uncorrected Area Counts'!F79*'Plate Planning'!$M$17/'Plate Planning'!$P$23/'Plate Planning'!$M$23*100</f>
        <v>#DIV/0!</v>
      </c>
      <c r="K79" s="165" t="e">
        <f>'Uncorrected Area Counts'!M79/'Uncorrected Area Counts'!F79*'Plate Planning'!$M$17/'Plate Planning'!$P$24/'Plate Planning'!$M$24*100</f>
        <v>#DIV/0!</v>
      </c>
      <c r="L79" s="315"/>
      <c r="M79" s="315"/>
      <c r="N79" s="315"/>
      <c r="O79" s="315"/>
      <c r="P79" s="315"/>
      <c r="Q79" s="315"/>
      <c r="R79" s="315"/>
      <c r="S79" s="315"/>
    </row>
    <row r="80" spans="1:19">
      <c r="A80" s="11">
        <v>77</v>
      </c>
      <c r="B80" s="1">
        <v>5</v>
      </c>
      <c r="C80" s="1">
        <v>7</v>
      </c>
      <c r="D80" s="10" t="s">
        <v>51</v>
      </c>
      <c r="E80" s="165" t="e">
        <f>'Uncorrected Area Counts'!G80/'Uncorrected Area Counts'!F80*'Plate Planning'!$M$17/'Plate Planning'!$P$18/'Plate Planning'!$M$18*100</f>
        <v>#DIV/0!</v>
      </c>
      <c r="F80" s="165" t="e">
        <f>'Uncorrected Area Counts'!H80/'Uncorrected Area Counts'!F80*'Plate Planning'!$M$17/'Plate Planning'!$P$19/'Plate Planning'!$M$19*100</f>
        <v>#DIV/0!</v>
      </c>
      <c r="G80" s="165" t="e">
        <f>'Uncorrected Area Counts'!I80/'Uncorrected Area Counts'!F80*'Plate Planning'!$M$17/'Plate Planning'!$P$20/'Plate Planning'!$M$20*100</f>
        <v>#DIV/0!</v>
      </c>
      <c r="H80" s="165" t="e">
        <f>'Uncorrected Area Counts'!J80/'Uncorrected Area Counts'!F80*'Plate Planning'!$M$17/'Plate Planning'!$P$21/'Plate Planning'!$M$21*100</f>
        <v>#DIV/0!</v>
      </c>
      <c r="I80" s="165" t="e">
        <f>'Uncorrected Area Counts'!K80/'Uncorrected Area Counts'!F80*'Plate Planning'!$M$17/'Plate Planning'!$P$22/'Plate Planning'!$M$22*100</f>
        <v>#DIV/0!</v>
      </c>
      <c r="J80" s="165" t="e">
        <f>'Uncorrected Area Counts'!L80/'Uncorrected Area Counts'!F80*'Plate Planning'!$M$17/'Plate Planning'!$P$23/'Plate Planning'!$M$23*100</f>
        <v>#DIV/0!</v>
      </c>
      <c r="K80" s="165" t="e">
        <f>'Uncorrected Area Counts'!M80/'Uncorrected Area Counts'!F80*'Plate Planning'!$M$17/'Plate Planning'!$P$24/'Plate Planning'!$M$24*100</f>
        <v>#DIV/0!</v>
      </c>
      <c r="L80" s="315"/>
      <c r="M80" s="315"/>
      <c r="N80" s="315"/>
      <c r="O80" s="315"/>
      <c r="P80" s="315"/>
      <c r="Q80" s="315"/>
      <c r="R80" s="315"/>
      <c r="S80" s="315"/>
    </row>
    <row r="81" spans="1:19">
      <c r="A81" s="11">
        <v>78</v>
      </c>
      <c r="B81" s="1">
        <v>6</v>
      </c>
      <c r="C81" s="1">
        <v>7</v>
      </c>
      <c r="D81" s="10" t="s">
        <v>51</v>
      </c>
      <c r="E81" s="165" t="e">
        <f>'Uncorrected Area Counts'!G81/'Uncorrected Area Counts'!F81*'Plate Planning'!$M$17/'Plate Planning'!$P$18/'Plate Planning'!$M$18*100</f>
        <v>#DIV/0!</v>
      </c>
      <c r="F81" s="165" t="e">
        <f>'Uncorrected Area Counts'!H81/'Uncorrected Area Counts'!F81*'Plate Planning'!$M$17/'Plate Planning'!$P$19/'Plate Planning'!$M$19*100</f>
        <v>#DIV/0!</v>
      </c>
      <c r="G81" s="165" t="e">
        <f>'Uncorrected Area Counts'!I81/'Uncorrected Area Counts'!F81*'Plate Planning'!$M$17/'Plate Planning'!$P$20/'Plate Planning'!$M$20*100</f>
        <v>#DIV/0!</v>
      </c>
      <c r="H81" s="165" t="e">
        <f>'Uncorrected Area Counts'!J81/'Uncorrected Area Counts'!F81*'Plate Planning'!$M$17/'Plate Planning'!$P$21/'Plate Planning'!$M$21*100</f>
        <v>#DIV/0!</v>
      </c>
      <c r="I81" s="165" t="e">
        <f>'Uncorrected Area Counts'!K81/'Uncorrected Area Counts'!F81*'Plate Planning'!$M$17/'Plate Planning'!$P$22/'Plate Planning'!$M$22*100</f>
        <v>#DIV/0!</v>
      </c>
      <c r="J81" s="165" t="e">
        <f>'Uncorrected Area Counts'!L81/'Uncorrected Area Counts'!F81*'Plate Planning'!$M$17/'Plate Planning'!$P$23/'Plate Planning'!$M$23*100</f>
        <v>#DIV/0!</v>
      </c>
      <c r="K81" s="165" t="e">
        <f>'Uncorrected Area Counts'!M81/'Uncorrected Area Counts'!F81*'Plate Planning'!$M$17/'Plate Planning'!$P$24/'Plate Planning'!$M$24*100</f>
        <v>#DIV/0!</v>
      </c>
      <c r="L81" s="315"/>
      <c r="M81" s="315"/>
      <c r="N81" s="315"/>
      <c r="O81" s="315"/>
      <c r="P81" s="315"/>
      <c r="Q81" s="315"/>
      <c r="R81" s="315"/>
      <c r="S81" s="315"/>
    </row>
    <row r="82" spans="1:19">
      <c r="A82" s="11">
        <v>79</v>
      </c>
      <c r="B82" s="1">
        <v>7</v>
      </c>
      <c r="C82" s="1">
        <v>7</v>
      </c>
      <c r="D82" s="10" t="s">
        <v>51</v>
      </c>
      <c r="E82" s="165" t="e">
        <f>'Uncorrected Area Counts'!G82/'Uncorrected Area Counts'!F82*'Plate Planning'!$M$17/'Plate Planning'!$P$18/'Plate Planning'!$M$18*100</f>
        <v>#DIV/0!</v>
      </c>
      <c r="F82" s="165" t="e">
        <f>'Uncorrected Area Counts'!H82/'Uncorrected Area Counts'!F82*'Plate Planning'!$M$17/'Plate Planning'!$P$19/'Plate Planning'!$M$19*100</f>
        <v>#DIV/0!</v>
      </c>
      <c r="G82" s="165" t="e">
        <f>'Uncorrected Area Counts'!I82/'Uncorrected Area Counts'!F82*'Plate Planning'!$M$17/'Plate Planning'!$P$20/'Plate Planning'!$M$20*100</f>
        <v>#DIV/0!</v>
      </c>
      <c r="H82" s="165" t="e">
        <f>'Uncorrected Area Counts'!J82/'Uncorrected Area Counts'!F82*'Plate Planning'!$M$17/'Plate Planning'!$P$21/'Plate Planning'!$M$21*100</f>
        <v>#DIV/0!</v>
      </c>
      <c r="I82" s="165" t="e">
        <f>'Uncorrected Area Counts'!K82/'Uncorrected Area Counts'!F82*'Plate Planning'!$M$17/'Plate Planning'!$P$22/'Plate Planning'!$M$22*100</f>
        <v>#DIV/0!</v>
      </c>
      <c r="J82" s="165" t="e">
        <f>'Uncorrected Area Counts'!L82/'Uncorrected Area Counts'!F82*'Plate Planning'!$M$17/'Plate Planning'!$P$23/'Plate Planning'!$M$23*100</f>
        <v>#DIV/0!</v>
      </c>
      <c r="K82" s="165" t="e">
        <f>'Uncorrected Area Counts'!M82/'Uncorrected Area Counts'!F82*'Plate Planning'!$M$17/'Plate Planning'!$P$24/'Plate Planning'!$M$24*100</f>
        <v>#DIV/0!</v>
      </c>
      <c r="L82" s="315"/>
      <c r="M82" s="315"/>
      <c r="N82" s="315"/>
      <c r="O82" s="315"/>
      <c r="P82" s="315"/>
      <c r="Q82" s="315"/>
      <c r="R82" s="315"/>
      <c r="S82" s="315"/>
    </row>
    <row r="83" spans="1:19">
      <c r="A83" s="11">
        <v>80</v>
      </c>
      <c r="B83" s="1">
        <v>8</v>
      </c>
      <c r="C83" s="1">
        <v>7</v>
      </c>
      <c r="D83" s="10" t="s">
        <v>51</v>
      </c>
      <c r="E83" s="165" t="e">
        <f>'Uncorrected Area Counts'!G83/'Uncorrected Area Counts'!F83*'Plate Planning'!$M$17/'Plate Planning'!$P$18/'Plate Planning'!$M$18*100</f>
        <v>#DIV/0!</v>
      </c>
      <c r="F83" s="165" t="e">
        <f>'Uncorrected Area Counts'!H83/'Uncorrected Area Counts'!F83*'Plate Planning'!$M$17/'Plate Planning'!$P$19/'Plate Planning'!$M$19*100</f>
        <v>#DIV/0!</v>
      </c>
      <c r="G83" s="165" t="e">
        <f>'Uncorrected Area Counts'!I83/'Uncorrected Area Counts'!F83*'Plate Planning'!$M$17/'Plate Planning'!$P$20/'Plate Planning'!$M$20*100</f>
        <v>#DIV/0!</v>
      </c>
      <c r="H83" s="165" t="e">
        <f>'Uncorrected Area Counts'!J83/'Uncorrected Area Counts'!F83*'Plate Planning'!$M$17/'Plate Planning'!$P$21/'Plate Planning'!$M$21*100</f>
        <v>#DIV/0!</v>
      </c>
      <c r="I83" s="165" t="e">
        <f>'Uncorrected Area Counts'!K83/'Uncorrected Area Counts'!F83*'Plate Planning'!$M$17/'Plate Planning'!$P$22/'Plate Planning'!$M$22*100</f>
        <v>#DIV/0!</v>
      </c>
      <c r="J83" s="165" t="e">
        <f>'Uncorrected Area Counts'!L83/'Uncorrected Area Counts'!F83*'Plate Planning'!$M$17/'Plate Planning'!$P$23/'Plate Planning'!$M$23*100</f>
        <v>#DIV/0!</v>
      </c>
      <c r="K83" s="165" t="e">
        <f>'Uncorrected Area Counts'!M83/'Uncorrected Area Counts'!F83*'Plate Planning'!$M$17/'Plate Planning'!$P$24/'Plate Planning'!$M$24*100</f>
        <v>#DIV/0!</v>
      </c>
      <c r="L83" s="315"/>
      <c r="M83" s="315"/>
      <c r="N83" s="315"/>
      <c r="O83" s="315"/>
      <c r="P83" s="315"/>
      <c r="Q83" s="315"/>
      <c r="R83" s="315"/>
      <c r="S83" s="315"/>
    </row>
    <row r="84" spans="1:19">
      <c r="A84" s="11">
        <v>81</v>
      </c>
      <c r="B84" s="1">
        <v>9</v>
      </c>
      <c r="C84" s="1">
        <v>7</v>
      </c>
      <c r="D84" s="10" t="s">
        <v>51</v>
      </c>
      <c r="E84" s="165" t="e">
        <f>'Uncorrected Area Counts'!G84/'Uncorrected Area Counts'!F84*'Plate Planning'!$M$17/'Plate Planning'!$P$18/'Plate Planning'!$M$18*100</f>
        <v>#DIV/0!</v>
      </c>
      <c r="F84" s="165" t="e">
        <f>'Uncorrected Area Counts'!H84/'Uncorrected Area Counts'!F84*'Plate Planning'!$M$17/'Plate Planning'!$P$19/'Plate Planning'!$M$19*100</f>
        <v>#DIV/0!</v>
      </c>
      <c r="G84" s="165" t="e">
        <f>'Uncorrected Area Counts'!I84/'Uncorrected Area Counts'!F84*'Plate Planning'!$M$17/'Plate Planning'!$P$20/'Plate Planning'!$M$20*100</f>
        <v>#DIV/0!</v>
      </c>
      <c r="H84" s="165" t="e">
        <f>'Uncorrected Area Counts'!J84/'Uncorrected Area Counts'!F84*'Plate Planning'!$M$17/'Plate Planning'!$P$21/'Plate Planning'!$M$21*100</f>
        <v>#DIV/0!</v>
      </c>
      <c r="I84" s="165" t="e">
        <f>'Uncorrected Area Counts'!K84/'Uncorrected Area Counts'!F84*'Plate Planning'!$M$17/'Plate Planning'!$P$22/'Plate Planning'!$M$22*100</f>
        <v>#DIV/0!</v>
      </c>
      <c r="J84" s="165" t="e">
        <f>'Uncorrected Area Counts'!L84/'Uncorrected Area Counts'!F84*'Plate Planning'!$M$17/'Plate Planning'!$P$23/'Plate Planning'!$M$23*100</f>
        <v>#DIV/0!</v>
      </c>
      <c r="K84" s="165" t="e">
        <f>'Uncorrected Area Counts'!M84/'Uncorrected Area Counts'!F84*'Plate Planning'!$M$17/'Plate Planning'!$P$24/'Plate Planning'!$M$24*100</f>
        <v>#DIV/0!</v>
      </c>
      <c r="L84" s="315"/>
      <c r="M84" s="315"/>
      <c r="N84" s="315"/>
      <c r="O84" s="315"/>
      <c r="P84" s="315"/>
      <c r="Q84" s="315"/>
      <c r="R84" s="315"/>
      <c r="S84" s="315"/>
    </row>
    <row r="85" spans="1:19">
      <c r="A85" s="11">
        <v>82</v>
      </c>
      <c r="B85" s="1">
        <v>10</v>
      </c>
      <c r="C85" s="1">
        <v>7</v>
      </c>
      <c r="D85" s="10" t="s">
        <v>51</v>
      </c>
      <c r="E85" s="165" t="e">
        <f>'Uncorrected Area Counts'!G85/'Uncorrected Area Counts'!F85*'Plate Planning'!$M$17/'Plate Planning'!$P$18/'Plate Planning'!$M$18*100</f>
        <v>#DIV/0!</v>
      </c>
      <c r="F85" s="165" t="e">
        <f>'Uncorrected Area Counts'!H85/'Uncorrected Area Counts'!F85*'Plate Planning'!$M$17/'Plate Planning'!$P$19/'Plate Planning'!$M$19*100</f>
        <v>#DIV/0!</v>
      </c>
      <c r="G85" s="165" t="e">
        <f>'Uncorrected Area Counts'!I85/'Uncorrected Area Counts'!F85*'Plate Planning'!$M$17/'Plate Planning'!$P$20/'Plate Planning'!$M$20*100</f>
        <v>#DIV/0!</v>
      </c>
      <c r="H85" s="165" t="e">
        <f>'Uncorrected Area Counts'!J85/'Uncorrected Area Counts'!F85*'Plate Planning'!$M$17/'Plate Planning'!$P$21/'Plate Planning'!$M$21*100</f>
        <v>#DIV/0!</v>
      </c>
      <c r="I85" s="165" t="e">
        <f>'Uncorrected Area Counts'!K85/'Uncorrected Area Counts'!F85*'Plate Planning'!$M$17/'Plate Planning'!$P$22/'Plate Planning'!$M$22*100</f>
        <v>#DIV/0!</v>
      </c>
      <c r="J85" s="165" t="e">
        <f>'Uncorrected Area Counts'!L85/'Uncorrected Area Counts'!F85*'Plate Planning'!$M$17/'Plate Planning'!$P$23/'Plate Planning'!$M$23*100</f>
        <v>#DIV/0!</v>
      </c>
      <c r="K85" s="165" t="e">
        <f>'Uncorrected Area Counts'!M85/'Uncorrected Area Counts'!F85*'Plate Planning'!$M$17/'Plate Planning'!$P$24/'Plate Planning'!$M$24*100</f>
        <v>#DIV/0!</v>
      </c>
      <c r="L85" s="315"/>
      <c r="M85" s="315"/>
      <c r="N85" s="315"/>
      <c r="O85" s="315"/>
      <c r="P85" s="315"/>
      <c r="Q85" s="315"/>
      <c r="R85" s="315"/>
      <c r="S85" s="315"/>
    </row>
    <row r="86" spans="1:19">
      <c r="A86" s="11">
        <v>83</v>
      </c>
      <c r="B86" s="1">
        <v>11</v>
      </c>
      <c r="C86" s="1">
        <v>7</v>
      </c>
      <c r="D86" s="10" t="s">
        <v>51</v>
      </c>
      <c r="E86" s="165" t="e">
        <f>'Uncorrected Area Counts'!G86/'Uncorrected Area Counts'!F86*'Plate Planning'!$M$17/'Plate Planning'!$P$18/'Plate Planning'!$M$18*100</f>
        <v>#DIV/0!</v>
      </c>
      <c r="F86" s="165" t="e">
        <f>'Uncorrected Area Counts'!H86/'Uncorrected Area Counts'!F86*'Plate Planning'!$M$17/'Plate Planning'!$P$19/'Plate Planning'!$M$19*100</f>
        <v>#DIV/0!</v>
      </c>
      <c r="G86" s="165" t="e">
        <f>'Uncorrected Area Counts'!I86/'Uncorrected Area Counts'!F86*'Plate Planning'!$M$17/'Plate Planning'!$P$20/'Plate Planning'!$M$20*100</f>
        <v>#DIV/0!</v>
      </c>
      <c r="H86" s="165" t="e">
        <f>'Uncorrected Area Counts'!J86/'Uncorrected Area Counts'!F86*'Plate Planning'!$M$17/'Plate Planning'!$P$21/'Plate Planning'!$M$21*100</f>
        <v>#DIV/0!</v>
      </c>
      <c r="I86" s="165" t="e">
        <f>'Uncorrected Area Counts'!K86/'Uncorrected Area Counts'!F86*'Plate Planning'!$M$17/'Plate Planning'!$P$22/'Plate Planning'!$M$22*100</f>
        <v>#DIV/0!</v>
      </c>
      <c r="J86" s="165" t="e">
        <f>'Uncorrected Area Counts'!L86/'Uncorrected Area Counts'!F86*'Plate Planning'!$M$17/'Plate Planning'!$P$23/'Plate Planning'!$M$23*100</f>
        <v>#DIV/0!</v>
      </c>
      <c r="K86" s="165" t="e">
        <f>'Uncorrected Area Counts'!M86/'Uncorrected Area Counts'!F86*'Plate Planning'!$M$17/'Plate Planning'!$P$24/'Plate Planning'!$M$24*100</f>
        <v>#DIV/0!</v>
      </c>
      <c r="L86" s="315"/>
      <c r="M86" s="315"/>
      <c r="N86" s="315"/>
      <c r="O86" s="315"/>
      <c r="P86" s="315"/>
      <c r="Q86" s="315"/>
      <c r="R86" s="315"/>
      <c r="S86" s="315"/>
    </row>
    <row r="87" spans="1:19">
      <c r="A87" s="11">
        <v>84</v>
      </c>
      <c r="B87" s="1">
        <v>12</v>
      </c>
      <c r="C87" s="1">
        <v>7</v>
      </c>
      <c r="D87" s="10" t="s">
        <v>51</v>
      </c>
      <c r="E87" s="165" t="e">
        <f>'Uncorrected Area Counts'!G87/'Uncorrected Area Counts'!F87*'Plate Planning'!$M$17/'Plate Planning'!$P$18/'Plate Planning'!$M$18*100</f>
        <v>#DIV/0!</v>
      </c>
      <c r="F87" s="165" t="e">
        <f>'Uncorrected Area Counts'!H87/'Uncorrected Area Counts'!F87*'Plate Planning'!$M$17/'Plate Planning'!$P$19/'Plate Planning'!$M$19*100</f>
        <v>#DIV/0!</v>
      </c>
      <c r="G87" s="165" t="e">
        <f>'Uncorrected Area Counts'!I87/'Uncorrected Area Counts'!F87*'Plate Planning'!$M$17/'Plate Planning'!$P$20/'Plate Planning'!$M$20*100</f>
        <v>#DIV/0!</v>
      </c>
      <c r="H87" s="165" t="e">
        <f>'Uncorrected Area Counts'!J87/'Uncorrected Area Counts'!F87*'Plate Planning'!$M$17/'Plate Planning'!$P$21/'Plate Planning'!$M$21*100</f>
        <v>#DIV/0!</v>
      </c>
      <c r="I87" s="165" t="e">
        <f>'Uncorrected Area Counts'!K87/'Uncorrected Area Counts'!F87*'Plate Planning'!$M$17/'Plate Planning'!$P$22/'Plate Planning'!$M$22*100</f>
        <v>#DIV/0!</v>
      </c>
      <c r="J87" s="165" t="e">
        <f>'Uncorrected Area Counts'!L87/'Uncorrected Area Counts'!F87*'Plate Planning'!$M$17/'Plate Planning'!$P$23/'Plate Planning'!$M$23*100</f>
        <v>#DIV/0!</v>
      </c>
      <c r="K87" s="165" t="e">
        <f>'Uncorrected Area Counts'!M87/'Uncorrected Area Counts'!F87*'Plate Planning'!$M$17/'Plate Planning'!$P$24/'Plate Planning'!$M$24*100</f>
        <v>#DIV/0!</v>
      </c>
      <c r="L87" s="315"/>
      <c r="M87" s="315"/>
      <c r="N87" s="315"/>
      <c r="O87" s="315"/>
      <c r="P87" s="315"/>
      <c r="Q87" s="315"/>
      <c r="R87" s="315"/>
      <c r="S87" s="315"/>
    </row>
    <row r="88" spans="1:19">
      <c r="A88" s="11">
        <v>85</v>
      </c>
      <c r="B88" s="1">
        <v>1</v>
      </c>
      <c r="C88" s="1">
        <v>8</v>
      </c>
      <c r="D88" s="10" t="s">
        <v>51</v>
      </c>
      <c r="E88" s="165" t="e">
        <f>'Uncorrected Area Counts'!G88/'Uncorrected Area Counts'!F88*'Plate Planning'!$M$17/'Plate Planning'!$P$18/'Plate Planning'!$M$18*100</f>
        <v>#DIV/0!</v>
      </c>
      <c r="F88" s="165" t="e">
        <f>'Uncorrected Area Counts'!H88/'Uncorrected Area Counts'!F88*'Plate Planning'!$M$17/'Plate Planning'!$P$19/'Plate Planning'!$M$19*100</f>
        <v>#DIV/0!</v>
      </c>
      <c r="G88" s="165" t="e">
        <f>'Uncorrected Area Counts'!I88/'Uncorrected Area Counts'!F88*'Plate Planning'!$M$17/'Plate Planning'!$P$20/'Plate Planning'!$M$20*100</f>
        <v>#DIV/0!</v>
      </c>
      <c r="H88" s="165" t="e">
        <f>'Uncorrected Area Counts'!J88/'Uncorrected Area Counts'!F88*'Plate Planning'!$M$17/'Plate Planning'!$P$21/'Plate Planning'!$M$21*100</f>
        <v>#DIV/0!</v>
      </c>
      <c r="I88" s="165" t="e">
        <f>'Uncorrected Area Counts'!K88/'Uncorrected Area Counts'!F88*'Plate Planning'!$M$17/'Plate Planning'!$P$22/'Plate Planning'!$M$22*100</f>
        <v>#DIV/0!</v>
      </c>
      <c r="J88" s="165" t="e">
        <f>'Uncorrected Area Counts'!L88/'Uncorrected Area Counts'!F88*'Plate Planning'!$M$17/'Plate Planning'!$P$23/'Plate Planning'!$M$23*100</f>
        <v>#DIV/0!</v>
      </c>
      <c r="K88" s="165" t="e">
        <f>'Uncorrected Area Counts'!M88/'Uncorrected Area Counts'!F88*'Plate Planning'!$M$17/'Plate Planning'!$P$24/'Plate Planning'!$M$24*100</f>
        <v>#DIV/0!</v>
      </c>
      <c r="L88" s="315"/>
      <c r="M88" s="315"/>
      <c r="N88" s="315"/>
      <c r="O88" s="315"/>
      <c r="P88" s="315"/>
      <c r="Q88" s="315"/>
      <c r="R88" s="315"/>
      <c r="S88" s="315"/>
    </row>
    <row r="89" spans="1:19">
      <c r="A89" s="11">
        <v>86</v>
      </c>
      <c r="B89" s="1">
        <v>2</v>
      </c>
      <c r="C89" s="1">
        <v>8</v>
      </c>
      <c r="D89" s="10" t="s">
        <v>51</v>
      </c>
      <c r="E89" s="165" t="e">
        <f>'Uncorrected Area Counts'!G89/'Uncorrected Area Counts'!F89*'Plate Planning'!$M$17/'Plate Planning'!$P$18/'Plate Planning'!$M$18*100</f>
        <v>#DIV/0!</v>
      </c>
      <c r="F89" s="165" t="e">
        <f>'Uncorrected Area Counts'!H89/'Uncorrected Area Counts'!F89*'Plate Planning'!$M$17/'Plate Planning'!$P$19/'Plate Planning'!$M$19*100</f>
        <v>#DIV/0!</v>
      </c>
      <c r="G89" s="165" t="e">
        <f>'Uncorrected Area Counts'!I89/'Uncorrected Area Counts'!F89*'Plate Planning'!$M$17/'Plate Planning'!$P$20/'Plate Planning'!$M$20*100</f>
        <v>#DIV/0!</v>
      </c>
      <c r="H89" s="165" t="e">
        <f>'Uncorrected Area Counts'!J89/'Uncorrected Area Counts'!F89*'Plate Planning'!$M$17/'Plate Planning'!$P$21/'Plate Planning'!$M$21*100</f>
        <v>#DIV/0!</v>
      </c>
      <c r="I89" s="165" t="e">
        <f>'Uncorrected Area Counts'!K89/'Uncorrected Area Counts'!F89*'Plate Planning'!$M$17/'Plate Planning'!$P$22/'Plate Planning'!$M$22*100</f>
        <v>#DIV/0!</v>
      </c>
      <c r="J89" s="165" t="e">
        <f>'Uncorrected Area Counts'!L89/'Uncorrected Area Counts'!F89*'Plate Planning'!$M$17/'Plate Planning'!$P$23/'Plate Planning'!$M$23*100</f>
        <v>#DIV/0!</v>
      </c>
      <c r="K89" s="165" t="e">
        <f>'Uncorrected Area Counts'!M89/'Uncorrected Area Counts'!F89*'Plate Planning'!$M$17/'Plate Planning'!$P$24/'Plate Planning'!$M$24*100</f>
        <v>#DIV/0!</v>
      </c>
      <c r="L89" s="315"/>
      <c r="M89" s="315"/>
      <c r="N89" s="315"/>
      <c r="O89" s="315"/>
      <c r="P89" s="315"/>
      <c r="Q89" s="315"/>
      <c r="R89" s="315"/>
      <c r="S89" s="315"/>
    </row>
    <row r="90" spans="1:19">
      <c r="A90" s="11">
        <v>87</v>
      </c>
      <c r="B90" s="1">
        <v>3</v>
      </c>
      <c r="C90" s="1">
        <v>8</v>
      </c>
      <c r="D90" s="10" t="s">
        <v>51</v>
      </c>
      <c r="E90" s="165" t="e">
        <f>'Uncorrected Area Counts'!G90/'Uncorrected Area Counts'!F90*'Plate Planning'!$M$17/'Plate Planning'!$P$18/'Plate Planning'!$M$18*100</f>
        <v>#DIV/0!</v>
      </c>
      <c r="F90" s="165" t="e">
        <f>'Uncorrected Area Counts'!H90/'Uncorrected Area Counts'!F90*'Plate Planning'!$M$17/'Plate Planning'!$P$19/'Plate Planning'!$M$19*100</f>
        <v>#DIV/0!</v>
      </c>
      <c r="G90" s="165" t="e">
        <f>'Uncorrected Area Counts'!I90/'Uncorrected Area Counts'!F90*'Plate Planning'!$M$17/'Plate Planning'!$P$20/'Plate Planning'!$M$20*100</f>
        <v>#DIV/0!</v>
      </c>
      <c r="H90" s="165" t="e">
        <f>'Uncorrected Area Counts'!J90/'Uncorrected Area Counts'!F90*'Plate Planning'!$M$17/'Plate Planning'!$P$21/'Plate Planning'!$M$21*100</f>
        <v>#DIV/0!</v>
      </c>
      <c r="I90" s="165" t="e">
        <f>'Uncorrected Area Counts'!K90/'Uncorrected Area Counts'!F90*'Plate Planning'!$M$17/'Plate Planning'!$P$22/'Plate Planning'!$M$22*100</f>
        <v>#DIV/0!</v>
      </c>
      <c r="J90" s="165" t="e">
        <f>'Uncorrected Area Counts'!L90/'Uncorrected Area Counts'!F90*'Plate Planning'!$M$17/'Plate Planning'!$P$23/'Plate Planning'!$M$23*100</f>
        <v>#DIV/0!</v>
      </c>
      <c r="K90" s="165" t="e">
        <f>'Uncorrected Area Counts'!M90/'Uncorrected Area Counts'!F90*'Plate Planning'!$M$17/'Plate Planning'!$P$24/'Plate Planning'!$M$24*100</f>
        <v>#DIV/0!</v>
      </c>
      <c r="L90" s="315"/>
      <c r="M90" s="315"/>
      <c r="N90" s="315"/>
      <c r="O90" s="315"/>
      <c r="P90" s="315"/>
      <c r="Q90" s="315"/>
      <c r="R90" s="315"/>
      <c r="S90" s="315"/>
    </row>
    <row r="91" spans="1:19">
      <c r="A91" s="11">
        <v>88</v>
      </c>
      <c r="B91" s="1">
        <v>4</v>
      </c>
      <c r="C91" s="1">
        <v>8</v>
      </c>
      <c r="D91" s="10" t="s">
        <v>51</v>
      </c>
      <c r="E91" s="165" t="e">
        <f>'Uncorrected Area Counts'!G91/'Uncorrected Area Counts'!F91*'Plate Planning'!$M$17/'Plate Planning'!$P$18/'Plate Planning'!$M$18*100</f>
        <v>#DIV/0!</v>
      </c>
      <c r="F91" s="165" t="e">
        <f>'Uncorrected Area Counts'!H91/'Uncorrected Area Counts'!F91*'Plate Planning'!$M$17/'Plate Planning'!$P$19/'Plate Planning'!$M$19*100</f>
        <v>#DIV/0!</v>
      </c>
      <c r="G91" s="165" t="e">
        <f>'Uncorrected Area Counts'!I91/'Uncorrected Area Counts'!F91*'Plate Planning'!$M$17/'Plate Planning'!$P$20/'Plate Planning'!$M$20*100</f>
        <v>#DIV/0!</v>
      </c>
      <c r="H91" s="165" t="e">
        <f>'Uncorrected Area Counts'!J91/'Uncorrected Area Counts'!F91*'Plate Planning'!$M$17/'Plate Planning'!$P$21/'Plate Planning'!$M$21*100</f>
        <v>#DIV/0!</v>
      </c>
      <c r="I91" s="165" t="e">
        <f>'Uncorrected Area Counts'!K91/'Uncorrected Area Counts'!F91*'Plate Planning'!$M$17/'Plate Planning'!$P$22/'Plate Planning'!$M$22*100</f>
        <v>#DIV/0!</v>
      </c>
      <c r="J91" s="165" t="e">
        <f>'Uncorrected Area Counts'!L91/'Uncorrected Area Counts'!F91*'Plate Planning'!$M$17/'Plate Planning'!$P$23/'Plate Planning'!$M$23*100</f>
        <v>#DIV/0!</v>
      </c>
      <c r="K91" s="165" t="e">
        <f>'Uncorrected Area Counts'!M91/'Uncorrected Area Counts'!F91*'Plate Planning'!$M$17/'Plate Planning'!$P$24/'Plate Planning'!$M$24*100</f>
        <v>#DIV/0!</v>
      </c>
      <c r="L91" s="315"/>
      <c r="M91" s="315"/>
      <c r="N91" s="315"/>
      <c r="O91" s="315"/>
      <c r="P91" s="315"/>
      <c r="Q91" s="315"/>
      <c r="R91" s="315"/>
      <c r="S91" s="315"/>
    </row>
    <row r="92" spans="1:19">
      <c r="A92" s="11">
        <v>89</v>
      </c>
      <c r="B92" s="1">
        <v>5</v>
      </c>
      <c r="C92" s="1">
        <v>8</v>
      </c>
      <c r="D92" s="10" t="s">
        <v>51</v>
      </c>
      <c r="E92" s="165" t="e">
        <f>'Uncorrected Area Counts'!G92/'Uncorrected Area Counts'!F92*'Plate Planning'!$M$17/'Plate Planning'!$P$18/'Plate Planning'!$M$18*100</f>
        <v>#DIV/0!</v>
      </c>
      <c r="F92" s="165" t="e">
        <f>'Uncorrected Area Counts'!H92/'Uncorrected Area Counts'!F92*'Plate Planning'!$M$17/'Plate Planning'!$P$19/'Plate Planning'!$M$19*100</f>
        <v>#DIV/0!</v>
      </c>
      <c r="G92" s="165" t="e">
        <f>'Uncorrected Area Counts'!I92/'Uncorrected Area Counts'!F92*'Plate Planning'!$M$17/'Plate Planning'!$P$20/'Plate Planning'!$M$20*100</f>
        <v>#DIV/0!</v>
      </c>
      <c r="H92" s="165" t="e">
        <f>'Uncorrected Area Counts'!J92/'Uncorrected Area Counts'!F92*'Plate Planning'!$M$17/'Plate Planning'!$P$21/'Plate Planning'!$M$21*100</f>
        <v>#DIV/0!</v>
      </c>
      <c r="I92" s="165" t="e">
        <f>'Uncorrected Area Counts'!K92/'Uncorrected Area Counts'!F92*'Plate Planning'!$M$17/'Plate Planning'!$P$22/'Plate Planning'!$M$22*100</f>
        <v>#DIV/0!</v>
      </c>
      <c r="J92" s="165" t="e">
        <f>'Uncorrected Area Counts'!L92/'Uncorrected Area Counts'!F92*'Plate Planning'!$M$17/'Plate Planning'!$P$23/'Plate Planning'!$M$23*100</f>
        <v>#DIV/0!</v>
      </c>
      <c r="K92" s="165" t="e">
        <f>'Uncorrected Area Counts'!M92/'Uncorrected Area Counts'!F92*'Plate Planning'!$M$17/'Plate Planning'!$P$24/'Plate Planning'!$M$24*100</f>
        <v>#DIV/0!</v>
      </c>
      <c r="L92" s="315"/>
      <c r="M92" s="315"/>
      <c r="N92" s="315"/>
      <c r="O92" s="315"/>
      <c r="P92" s="315"/>
      <c r="Q92" s="315"/>
      <c r="R92" s="315"/>
      <c r="S92" s="315"/>
    </row>
    <row r="93" spans="1:19">
      <c r="A93" s="11">
        <v>90</v>
      </c>
      <c r="B93" s="1">
        <v>6</v>
      </c>
      <c r="C93" s="1">
        <v>8</v>
      </c>
      <c r="D93" s="10" t="s">
        <v>51</v>
      </c>
      <c r="E93" s="165" t="e">
        <f>'Uncorrected Area Counts'!G93/'Uncorrected Area Counts'!F93*'Plate Planning'!$M$17/'Plate Planning'!$P$18/'Plate Planning'!$M$18*100</f>
        <v>#DIV/0!</v>
      </c>
      <c r="F93" s="165" t="e">
        <f>'Uncorrected Area Counts'!H93/'Uncorrected Area Counts'!F93*'Plate Planning'!$M$17/'Plate Planning'!$P$19/'Plate Planning'!$M$19*100</f>
        <v>#DIV/0!</v>
      </c>
      <c r="G93" s="165" t="e">
        <f>'Uncorrected Area Counts'!I93/'Uncorrected Area Counts'!F93*'Plate Planning'!$M$17/'Plate Planning'!$P$20/'Plate Planning'!$M$20*100</f>
        <v>#DIV/0!</v>
      </c>
      <c r="H93" s="165" t="e">
        <f>'Uncorrected Area Counts'!J93/'Uncorrected Area Counts'!F93*'Plate Planning'!$M$17/'Plate Planning'!$P$21/'Plate Planning'!$M$21*100</f>
        <v>#DIV/0!</v>
      </c>
      <c r="I93" s="165" t="e">
        <f>'Uncorrected Area Counts'!K93/'Uncorrected Area Counts'!F93*'Plate Planning'!$M$17/'Plate Planning'!$P$22/'Plate Planning'!$M$22*100</f>
        <v>#DIV/0!</v>
      </c>
      <c r="J93" s="165" t="e">
        <f>'Uncorrected Area Counts'!L93/'Uncorrected Area Counts'!F93*'Plate Planning'!$M$17/'Plate Planning'!$P$23/'Plate Planning'!$M$23*100</f>
        <v>#DIV/0!</v>
      </c>
      <c r="K93" s="165" t="e">
        <f>'Uncorrected Area Counts'!M93/'Uncorrected Area Counts'!F93*'Plate Planning'!$M$17/'Plate Planning'!$P$24/'Plate Planning'!$M$24*100</f>
        <v>#DIV/0!</v>
      </c>
      <c r="L93" s="315"/>
      <c r="M93" s="315"/>
      <c r="N93" s="315"/>
      <c r="O93" s="315"/>
      <c r="P93" s="315"/>
      <c r="Q93" s="315"/>
      <c r="R93" s="315"/>
      <c r="S93" s="315"/>
    </row>
    <row r="94" spans="1:19">
      <c r="A94" s="11">
        <v>91</v>
      </c>
      <c r="B94" s="1">
        <v>7</v>
      </c>
      <c r="C94" s="1">
        <v>8</v>
      </c>
      <c r="D94" s="10" t="s">
        <v>51</v>
      </c>
      <c r="E94" s="165" t="e">
        <f>'Uncorrected Area Counts'!G94/'Uncorrected Area Counts'!F94*'Plate Planning'!$M$17/'Plate Planning'!$P$18/'Plate Planning'!$M$18*100</f>
        <v>#DIV/0!</v>
      </c>
      <c r="F94" s="165" t="e">
        <f>'Uncorrected Area Counts'!H94/'Uncorrected Area Counts'!F94*'Plate Planning'!$M$17/'Plate Planning'!$P$19/'Plate Planning'!$M$19*100</f>
        <v>#DIV/0!</v>
      </c>
      <c r="G94" s="165" t="e">
        <f>'Uncorrected Area Counts'!I94/'Uncorrected Area Counts'!F94*'Plate Planning'!$M$17/'Plate Planning'!$P$20/'Plate Planning'!$M$20*100</f>
        <v>#DIV/0!</v>
      </c>
      <c r="H94" s="165" t="e">
        <f>'Uncorrected Area Counts'!J94/'Uncorrected Area Counts'!F94*'Plate Planning'!$M$17/'Plate Planning'!$P$21/'Plate Planning'!$M$21*100</f>
        <v>#DIV/0!</v>
      </c>
      <c r="I94" s="165" t="e">
        <f>'Uncorrected Area Counts'!K94/'Uncorrected Area Counts'!F94*'Plate Planning'!$M$17/'Plate Planning'!$P$22/'Plate Planning'!$M$22*100</f>
        <v>#DIV/0!</v>
      </c>
      <c r="J94" s="165" t="e">
        <f>'Uncorrected Area Counts'!L94/'Uncorrected Area Counts'!F94*'Plate Planning'!$M$17/'Plate Planning'!$P$23/'Plate Planning'!$M$23*100</f>
        <v>#DIV/0!</v>
      </c>
      <c r="K94" s="165" t="e">
        <f>'Uncorrected Area Counts'!M94/'Uncorrected Area Counts'!F94*'Plate Planning'!$M$17/'Plate Planning'!$P$24/'Plate Planning'!$M$24*100</f>
        <v>#DIV/0!</v>
      </c>
      <c r="L94" s="315"/>
      <c r="M94" s="315"/>
      <c r="N94" s="315"/>
      <c r="O94" s="315"/>
      <c r="P94" s="315"/>
      <c r="Q94" s="315"/>
      <c r="R94" s="315"/>
      <c r="S94" s="315"/>
    </row>
    <row r="95" spans="1:19">
      <c r="A95" s="11">
        <v>92</v>
      </c>
      <c r="B95" s="1">
        <v>8</v>
      </c>
      <c r="C95" s="1">
        <v>8</v>
      </c>
      <c r="D95" s="10" t="s">
        <v>51</v>
      </c>
      <c r="E95" s="165" t="e">
        <f>'Uncorrected Area Counts'!G95/'Uncorrected Area Counts'!F95*'Plate Planning'!$M$17/'Plate Planning'!$P$18/'Plate Planning'!$M$18*100</f>
        <v>#DIV/0!</v>
      </c>
      <c r="F95" s="165" t="e">
        <f>'Uncorrected Area Counts'!H95/'Uncorrected Area Counts'!F95*'Plate Planning'!$M$17/'Plate Planning'!$P$19/'Plate Planning'!$M$19*100</f>
        <v>#DIV/0!</v>
      </c>
      <c r="G95" s="165" t="e">
        <f>'Uncorrected Area Counts'!I95/'Uncorrected Area Counts'!F95*'Plate Planning'!$M$17/'Plate Planning'!$P$20/'Plate Planning'!$M$20*100</f>
        <v>#DIV/0!</v>
      </c>
      <c r="H95" s="165" t="e">
        <f>'Uncorrected Area Counts'!J95/'Uncorrected Area Counts'!F95*'Plate Planning'!$M$17/'Plate Planning'!$P$21/'Plate Planning'!$M$21*100</f>
        <v>#DIV/0!</v>
      </c>
      <c r="I95" s="165" t="e">
        <f>'Uncorrected Area Counts'!K95/'Uncorrected Area Counts'!F95*'Plate Planning'!$M$17/'Plate Planning'!$P$22/'Plate Planning'!$M$22*100</f>
        <v>#DIV/0!</v>
      </c>
      <c r="J95" s="165" t="e">
        <f>'Uncorrected Area Counts'!L95/'Uncorrected Area Counts'!F95*'Plate Planning'!$M$17/'Plate Planning'!$P$23/'Plate Planning'!$M$23*100</f>
        <v>#DIV/0!</v>
      </c>
      <c r="K95" s="165" t="e">
        <f>'Uncorrected Area Counts'!M95/'Uncorrected Area Counts'!F95*'Plate Planning'!$M$17/'Plate Planning'!$P$24/'Plate Planning'!$M$24*100</f>
        <v>#DIV/0!</v>
      </c>
      <c r="L95" s="315"/>
      <c r="M95" s="315"/>
      <c r="N95" s="315"/>
      <c r="O95" s="315"/>
      <c r="P95" s="315"/>
      <c r="Q95" s="315"/>
      <c r="R95" s="315"/>
      <c r="S95" s="315"/>
    </row>
    <row r="96" spans="1:19">
      <c r="A96" s="11">
        <v>93</v>
      </c>
      <c r="B96" s="1">
        <v>9</v>
      </c>
      <c r="C96" s="1">
        <v>8</v>
      </c>
      <c r="D96" s="10" t="s">
        <v>51</v>
      </c>
      <c r="E96" s="165" t="e">
        <f>'Uncorrected Area Counts'!G96/'Uncorrected Area Counts'!F96*'Plate Planning'!$M$17/'Plate Planning'!$P$18/'Plate Planning'!$M$18*100</f>
        <v>#DIV/0!</v>
      </c>
      <c r="F96" s="165" t="e">
        <f>'Uncorrected Area Counts'!H96/'Uncorrected Area Counts'!F96*'Plate Planning'!$M$17/'Plate Planning'!$P$19/'Plate Planning'!$M$19*100</f>
        <v>#DIV/0!</v>
      </c>
      <c r="G96" s="165" t="e">
        <f>'Uncorrected Area Counts'!I96/'Uncorrected Area Counts'!F96*'Plate Planning'!$M$17/'Plate Planning'!$P$20/'Plate Planning'!$M$20*100</f>
        <v>#DIV/0!</v>
      </c>
      <c r="H96" s="165" t="e">
        <f>'Uncorrected Area Counts'!J96/'Uncorrected Area Counts'!F96*'Plate Planning'!$M$17/'Plate Planning'!$P$21/'Plate Planning'!$M$21*100</f>
        <v>#DIV/0!</v>
      </c>
      <c r="I96" s="165" t="e">
        <f>'Uncorrected Area Counts'!K96/'Uncorrected Area Counts'!F96*'Plate Planning'!$M$17/'Plate Planning'!$P$22/'Plate Planning'!$M$22*100</f>
        <v>#DIV/0!</v>
      </c>
      <c r="J96" s="165" t="e">
        <f>'Uncorrected Area Counts'!L96/'Uncorrected Area Counts'!F96*'Plate Planning'!$M$17/'Plate Planning'!$P$23/'Plate Planning'!$M$23*100</f>
        <v>#DIV/0!</v>
      </c>
      <c r="K96" s="165" t="e">
        <f>'Uncorrected Area Counts'!M96/'Uncorrected Area Counts'!F96*'Plate Planning'!$M$17/'Plate Planning'!$P$24/'Plate Planning'!$M$24*100</f>
        <v>#DIV/0!</v>
      </c>
      <c r="L96" s="315"/>
      <c r="M96" s="315"/>
      <c r="N96" s="315"/>
      <c r="O96" s="315"/>
      <c r="P96" s="315"/>
      <c r="Q96" s="315"/>
      <c r="R96" s="315"/>
      <c r="S96" s="315"/>
    </row>
    <row r="97" spans="1:19">
      <c r="A97" s="11">
        <v>94</v>
      </c>
      <c r="B97" s="1">
        <v>10</v>
      </c>
      <c r="C97" s="1">
        <v>8</v>
      </c>
      <c r="D97" s="10" t="s">
        <v>51</v>
      </c>
      <c r="E97" s="165" t="e">
        <f>'Uncorrected Area Counts'!G97/'Uncorrected Area Counts'!F97*'Plate Planning'!$M$17/'Plate Planning'!$P$18/'Plate Planning'!$M$18*100</f>
        <v>#DIV/0!</v>
      </c>
      <c r="F97" s="165" t="e">
        <f>'Uncorrected Area Counts'!H97/'Uncorrected Area Counts'!F97*'Plate Planning'!$M$17/'Plate Planning'!$P$19/'Plate Planning'!$M$19*100</f>
        <v>#DIV/0!</v>
      </c>
      <c r="G97" s="165" t="e">
        <f>'Uncorrected Area Counts'!I97/'Uncorrected Area Counts'!F97*'Plate Planning'!$M$17/'Plate Planning'!$P$20/'Plate Planning'!$M$20*100</f>
        <v>#DIV/0!</v>
      </c>
      <c r="H97" s="165" t="e">
        <f>'Uncorrected Area Counts'!J97/'Uncorrected Area Counts'!F97*'Plate Planning'!$M$17/'Plate Planning'!$P$21/'Plate Planning'!$M$21*100</f>
        <v>#DIV/0!</v>
      </c>
      <c r="I97" s="165" t="e">
        <f>'Uncorrected Area Counts'!K97/'Uncorrected Area Counts'!F97*'Plate Planning'!$M$17/'Plate Planning'!$P$22/'Plate Planning'!$M$22*100</f>
        <v>#DIV/0!</v>
      </c>
      <c r="J97" s="165" t="e">
        <f>'Uncorrected Area Counts'!L97/'Uncorrected Area Counts'!F97*'Plate Planning'!$M$17/'Plate Planning'!$P$23/'Plate Planning'!$M$23*100</f>
        <v>#DIV/0!</v>
      </c>
      <c r="K97" s="165" t="e">
        <f>'Uncorrected Area Counts'!M97/'Uncorrected Area Counts'!F97*'Plate Planning'!$M$17/'Plate Planning'!$P$24/'Plate Planning'!$M$24*100</f>
        <v>#DIV/0!</v>
      </c>
      <c r="L97" s="315"/>
      <c r="M97" s="315"/>
      <c r="N97" s="315"/>
      <c r="O97" s="315"/>
      <c r="P97" s="315"/>
      <c r="Q97" s="315"/>
      <c r="R97" s="315"/>
      <c r="S97" s="315"/>
    </row>
    <row r="98" spans="1:19">
      <c r="A98" s="11">
        <v>95</v>
      </c>
      <c r="B98" s="1">
        <v>11</v>
      </c>
      <c r="C98" s="1">
        <v>8</v>
      </c>
      <c r="D98" s="10" t="s">
        <v>51</v>
      </c>
      <c r="E98" s="165" t="e">
        <f>'Uncorrected Area Counts'!G98/'Uncorrected Area Counts'!F98*'Plate Planning'!$M$17/'Plate Planning'!$P$18/'Plate Planning'!$M$18*100</f>
        <v>#DIV/0!</v>
      </c>
      <c r="F98" s="165" t="e">
        <f>'Uncorrected Area Counts'!H98/'Uncorrected Area Counts'!F98*'Plate Planning'!$M$17/'Plate Planning'!$P$19/'Plate Planning'!$M$19*100</f>
        <v>#DIV/0!</v>
      </c>
      <c r="G98" s="165" t="e">
        <f>'Uncorrected Area Counts'!I98/'Uncorrected Area Counts'!F98*'Plate Planning'!$M$17/'Plate Planning'!$P$20/'Plate Planning'!$M$20*100</f>
        <v>#DIV/0!</v>
      </c>
      <c r="H98" s="165" t="e">
        <f>'Uncorrected Area Counts'!J98/'Uncorrected Area Counts'!F98*'Plate Planning'!$M$17/'Plate Planning'!$P$21/'Plate Planning'!$M$21*100</f>
        <v>#DIV/0!</v>
      </c>
      <c r="I98" s="165" t="e">
        <f>'Uncorrected Area Counts'!K98/'Uncorrected Area Counts'!F98*'Plate Planning'!$M$17/'Plate Planning'!$P$22/'Plate Planning'!$M$22*100</f>
        <v>#DIV/0!</v>
      </c>
      <c r="J98" s="165" t="e">
        <f>'Uncorrected Area Counts'!L98/'Uncorrected Area Counts'!F98*'Plate Planning'!$M$17/'Plate Planning'!$P$23/'Plate Planning'!$M$23*100</f>
        <v>#DIV/0!</v>
      </c>
      <c r="K98" s="165" t="e">
        <f>'Uncorrected Area Counts'!M98/'Uncorrected Area Counts'!F98*'Plate Planning'!$M$17/'Plate Planning'!$P$24/'Plate Planning'!$M$24*100</f>
        <v>#DIV/0!</v>
      </c>
      <c r="L98" s="315"/>
      <c r="M98" s="315"/>
      <c r="N98" s="315"/>
      <c r="O98" s="315"/>
      <c r="P98" s="315"/>
      <c r="Q98" s="315"/>
      <c r="R98" s="315"/>
      <c r="S98" s="315"/>
    </row>
    <row r="99" spans="1:19" ht="17" thickBot="1">
      <c r="A99" s="166">
        <v>96</v>
      </c>
      <c r="B99" s="167">
        <v>12</v>
      </c>
      <c r="C99" s="167">
        <v>8</v>
      </c>
      <c r="D99" s="168" t="s">
        <v>51</v>
      </c>
      <c r="E99" s="206" t="e">
        <f>'Uncorrected Area Counts'!G99/'Uncorrected Area Counts'!F99*'Plate Planning'!$M$17/'Plate Planning'!$P$18/'Plate Planning'!$M$18*100</f>
        <v>#DIV/0!</v>
      </c>
      <c r="F99" s="206" t="e">
        <f>'Uncorrected Area Counts'!H99/'Uncorrected Area Counts'!F99*'Plate Planning'!$M$17/'Plate Planning'!$P$19/'Plate Planning'!$M$19*100</f>
        <v>#DIV/0!</v>
      </c>
      <c r="G99" s="206" t="e">
        <f>'Uncorrected Area Counts'!I99/'Uncorrected Area Counts'!F99*'Plate Planning'!$M$17/'Plate Planning'!$P$20/'Plate Planning'!$M$20*100</f>
        <v>#DIV/0!</v>
      </c>
      <c r="H99" s="206" t="e">
        <f>'Uncorrected Area Counts'!J99/'Uncorrected Area Counts'!F99*'Plate Planning'!$M$17/'Plate Planning'!$P$21/'Plate Planning'!$M$21*100</f>
        <v>#DIV/0!</v>
      </c>
      <c r="I99" s="206" t="e">
        <f>'Uncorrected Area Counts'!K99/'Uncorrected Area Counts'!F99*'Plate Planning'!$M$17/'Plate Planning'!$P$22/'Plate Planning'!$M$22*100</f>
        <v>#DIV/0!</v>
      </c>
      <c r="J99" s="206" t="e">
        <f>'Uncorrected Area Counts'!L99/'Uncorrected Area Counts'!F99*'Plate Planning'!$M$17/'Plate Planning'!$P$23/'Plate Planning'!$M$23*100</f>
        <v>#DIV/0!</v>
      </c>
      <c r="K99" s="206" t="e">
        <f>'Uncorrected Area Counts'!M99/'Uncorrected Area Counts'!F99*'Plate Planning'!$M$17/'Plate Planning'!$P$24/'Plate Planning'!$M$24*100</f>
        <v>#DIV/0!</v>
      </c>
      <c r="L99" s="315"/>
      <c r="M99" s="315"/>
      <c r="N99" s="315"/>
      <c r="O99" s="315"/>
      <c r="P99" s="315"/>
      <c r="Q99" s="315"/>
      <c r="R99" s="315"/>
      <c r="S99" s="315"/>
    </row>
    <row r="100" spans="1:19">
      <c r="L100" s="316"/>
      <c r="M100" s="316"/>
      <c r="N100" s="316"/>
      <c r="O100" s="316"/>
      <c r="P100" s="316"/>
      <c r="Q100" s="316"/>
      <c r="R100" s="316"/>
      <c r="S100" s="316"/>
    </row>
    <row r="101" spans="1:19">
      <c r="L101" s="316"/>
      <c r="M101" s="316"/>
      <c r="N101" s="316"/>
      <c r="O101" s="316"/>
      <c r="P101" s="316"/>
      <c r="Q101" s="316"/>
      <c r="R101" s="316"/>
      <c r="S101" s="3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5A847-95E1-E742-9092-C8A4334EE93A}">
  <dimension ref="A1:BY98"/>
  <sheetViews>
    <sheetView workbookViewId="0">
      <pane ySplit="1" topLeftCell="A71" activePane="bottomLeft" state="frozen"/>
      <selection pane="bottomLeft" activeCell="AO86" sqref="AO86"/>
    </sheetView>
  </sheetViews>
  <sheetFormatPr baseColWidth="10" defaultRowHeight="16"/>
  <cols>
    <col min="1" max="1" width="7.6640625" customWidth="1"/>
    <col min="2" max="2" width="4.1640625" style="1" customWidth="1"/>
    <col min="3" max="3" width="4" style="1" customWidth="1"/>
    <col min="4" max="5" width="4.33203125" customWidth="1"/>
    <col min="6" max="6" width="7.1640625" customWidth="1"/>
    <col min="7" max="7" width="6.6640625" customWidth="1"/>
    <col min="8" max="8" width="8.83203125" customWidth="1"/>
    <col min="9" max="9" width="12" customWidth="1"/>
    <col min="10" max="10" width="7.6640625" customWidth="1"/>
    <col min="11" max="11" width="3.33203125" customWidth="1"/>
    <col min="12" max="12" width="3.6640625" customWidth="1"/>
    <col min="13" max="13" width="5.6640625" customWidth="1"/>
    <col min="14" max="14" width="3.83203125" customWidth="1"/>
    <col min="15" max="15" width="4.1640625" customWidth="1"/>
    <col min="16" max="16" width="4" customWidth="1"/>
    <col min="17" max="17" width="4.33203125" customWidth="1"/>
    <col min="18" max="18" width="3.33203125" customWidth="1"/>
    <col min="19" max="19" width="4" customWidth="1"/>
    <col min="20" max="20" width="2.83203125" customWidth="1"/>
    <col min="21" max="21" width="3.5" customWidth="1"/>
    <col min="22" max="22" width="2.5" customWidth="1"/>
    <col min="23" max="23" width="3.5" customWidth="1"/>
    <col min="24" max="24" width="2.1640625" customWidth="1"/>
    <col min="25" max="25" width="3.33203125" customWidth="1"/>
    <col min="26" max="26" width="2.6640625" customWidth="1"/>
    <col min="27" max="27" width="3.6640625" customWidth="1"/>
    <col min="28" max="28" width="3.1640625" customWidth="1"/>
    <col min="29" max="29" width="4.1640625" customWidth="1"/>
    <col min="30" max="30" width="2.5" customWidth="1"/>
    <col min="31" max="31" width="3.6640625" customWidth="1"/>
    <col min="32" max="33" width="2.83203125" customWidth="1"/>
    <col min="34" max="34" width="4.33203125" customWidth="1"/>
    <col min="35" max="36" width="3.1640625" customWidth="1"/>
    <col min="37" max="37" width="4.83203125" customWidth="1"/>
    <col min="38" max="39" width="3.5" customWidth="1"/>
    <col min="40" max="40" width="5" customWidth="1"/>
    <col min="41" max="42" width="3.83203125" customWidth="1"/>
    <col min="43" max="44" width="4.6640625" customWidth="1"/>
  </cols>
  <sheetData>
    <row r="1" spans="1:77">
      <c r="A1" s="1" t="s">
        <v>23</v>
      </c>
      <c r="B1" s="13" t="s">
        <v>46</v>
      </c>
      <c r="C1" s="13" t="s">
        <v>47</v>
      </c>
      <c r="D1" s="259" t="s">
        <v>129</v>
      </c>
      <c r="E1" s="259" t="s">
        <v>130</v>
      </c>
      <c r="F1" s="259" t="s">
        <v>131</v>
      </c>
      <c r="G1" s="1" t="s">
        <v>78</v>
      </c>
      <c r="H1" s="1" t="s">
        <v>80</v>
      </c>
      <c r="I1" s="1" t="s">
        <v>81</v>
      </c>
      <c r="J1" s="1" t="s">
        <v>53</v>
      </c>
      <c r="K1" s="297" t="s">
        <v>135</v>
      </c>
      <c r="L1" s="297" t="s">
        <v>135</v>
      </c>
      <c r="M1" s="297" t="s">
        <v>136</v>
      </c>
      <c r="N1" s="297" t="s">
        <v>137</v>
      </c>
      <c r="O1" s="1" t="s">
        <v>62</v>
      </c>
      <c r="P1" s="297" t="s">
        <v>138</v>
      </c>
      <c r="Q1" s="1" t="s">
        <v>63</v>
      </c>
      <c r="R1" s="297" t="s">
        <v>139</v>
      </c>
      <c r="S1" s="1" t="s">
        <v>64</v>
      </c>
      <c r="T1" s="297" t="s">
        <v>140</v>
      </c>
      <c r="U1" s="1" t="s">
        <v>65</v>
      </c>
      <c r="V1" s="297" t="s">
        <v>141</v>
      </c>
      <c r="W1" s="1" t="s">
        <v>66</v>
      </c>
      <c r="X1" s="297" t="s">
        <v>142</v>
      </c>
      <c r="Y1" s="1" t="s">
        <v>67</v>
      </c>
      <c r="Z1" s="297" t="s">
        <v>143</v>
      </c>
      <c r="AA1" s="1" t="s">
        <v>68</v>
      </c>
      <c r="AB1" s="297" t="s">
        <v>144</v>
      </c>
      <c r="AC1" s="1" t="s">
        <v>69</v>
      </c>
      <c r="AD1" s="297" t="s">
        <v>145</v>
      </c>
      <c r="AE1" s="1" t="s">
        <v>70</v>
      </c>
      <c r="AF1" s="1" t="s">
        <v>98</v>
      </c>
      <c r="AG1" s="297" t="s">
        <v>146</v>
      </c>
      <c r="AH1" s="1" t="s">
        <v>91</v>
      </c>
      <c r="AI1" s="1" t="s">
        <v>97</v>
      </c>
      <c r="AJ1" s="297" t="s">
        <v>147</v>
      </c>
      <c r="AK1" s="1" t="s">
        <v>92</v>
      </c>
      <c r="AL1" s="1" t="s">
        <v>96</v>
      </c>
      <c r="AM1" s="297" t="s">
        <v>148</v>
      </c>
      <c r="AN1" s="1" t="s">
        <v>93</v>
      </c>
      <c r="AO1" s="1" t="s">
        <v>94</v>
      </c>
      <c r="AP1" s="297" t="s">
        <v>149</v>
      </c>
      <c r="AQ1" s="1" t="s">
        <v>95</v>
      </c>
      <c r="AR1" s="297" t="s">
        <v>152</v>
      </c>
      <c r="AS1" s="297" t="s">
        <v>150</v>
      </c>
      <c r="AT1" s="297" t="s">
        <v>153</v>
      </c>
      <c r="AU1" s="297" t="s">
        <v>151</v>
      </c>
      <c r="AV1" s="297" t="s">
        <v>154</v>
      </c>
      <c r="AW1" s="297" t="s">
        <v>155</v>
      </c>
      <c r="AX1" s="297" t="s">
        <v>156</v>
      </c>
      <c r="AY1" s="297" t="s">
        <v>157</v>
      </c>
      <c r="AZ1" s="297" t="s">
        <v>158</v>
      </c>
      <c r="BA1" s="297" t="s">
        <v>159</v>
      </c>
      <c r="BB1" s="297" t="s">
        <v>160</v>
      </c>
      <c r="BC1" s="297" t="s">
        <v>161</v>
      </c>
      <c r="BD1" s="26" t="s">
        <v>162</v>
      </c>
      <c r="BE1" s="26" t="s">
        <v>163</v>
      </c>
      <c r="BF1" s="26" t="s">
        <v>164</v>
      </c>
      <c r="BG1" s="26" t="s">
        <v>165</v>
      </c>
      <c r="BH1" s="26" t="s">
        <v>166</v>
      </c>
      <c r="BI1" s="26" t="s">
        <v>167</v>
      </c>
      <c r="BJ1" s="26" t="s">
        <v>168</v>
      </c>
      <c r="BK1" s="26" t="s">
        <v>169</v>
      </c>
      <c r="BL1" s="26" t="s">
        <v>173</v>
      </c>
      <c r="BM1" s="26" t="s">
        <v>174</v>
      </c>
      <c r="BN1" s="26" t="s">
        <v>175</v>
      </c>
      <c r="BO1" s="26" t="s">
        <v>176</v>
      </c>
      <c r="BP1" s="26" t="s">
        <v>177</v>
      </c>
      <c r="BQ1" s="26" t="s">
        <v>178</v>
      </c>
      <c r="BR1" s="26" t="s">
        <v>179</v>
      </c>
      <c r="BS1" s="26" t="s">
        <v>180</v>
      </c>
      <c r="BT1" s="26" t="s">
        <v>170</v>
      </c>
      <c r="BU1" s="26" t="s">
        <v>171</v>
      </c>
      <c r="BV1" s="26" t="s">
        <v>172</v>
      </c>
      <c r="BW1" s="26" t="s">
        <v>181</v>
      </c>
      <c r="BX1" s="26" t="s">
        <v>182</v>
      </c>
      <c r="BY1" s="26" t="s">
        <v>183</v>
      </c>
    </row>
    <row r="2" spans="1:77">
      <c r="A2" s="1">
        <v>1</v>
      </c>
      <c r="B2" s="1">
        <v>1</v>
      </c>
      <c r="C2" s="1">
        <v>1</v>
      </c>
      <c r="D2" s="1">
        <f>'Plate Planning'!$H$16</f>
        <v>0</v>
      </c>
      <c r="E2" s="1" t="str">
        <f>'Plate Planning'!$H$17</f>
        <v>LC-MS</v>
      </c>
      <c r="F2" s="1">
        <f>'Plate Planning'!$H$18</f>
        <v>500</v>
      </c>
      <c r="G2" s="1">
        <f>'Plate Planning'!$H$20</f>
        <v>25</v>
      </c>
      <c r="H2" s="1">
        <f>'Plate Planning'!$H$19</f>
        <v>24</v>
      </c>
      <c r="I2" s="1" t="b">
        <f>'Plate Planning'!$H$21</f>
        <v>1</v>
      </c>
      <c r="J2" s="1" t="str">
        <f>IF('Plate Planning'!$H$22=0, "NA",'Plate Planning'!$H$22)</f>
        <v>NA</v>
      </c>
      <c r="K2" s="1">
        <f>Reagents!$D$2</f>
        <v>0</v>
      </c>
      <c r="L2" s="1">
        <f>Reagents!$D$2</f>
        <v>0</v>
      </c>
      <c r="M2" s="1">
        <f>Reagents!$J$2</f>
        <v>0</v>
      </c>
      <c r="N2" s="1">
        <f>Reagents!$D$3</f>
        <v>0</v>
      </c>
      <c r="O2" s="1">
        <f>Reagents!$J$3</f>
        <v>0</v>
      </c>
      <c r="P2" s="1">
        <f>Reagents!$D$4</f>
        <v>0</v>
      </c>
      <c r="Q2" s="1">
        <f>Reagents!$J$4</f>
        <v>0</v>
      </c>
      <c r="R2" s="1">
        <f>Reagents!$D$5</f>
        <v>0</v>
      </c>
      <c r="S2" s="1">
        <f>Reagents!$J$5</f>
        <v>0</v>
      </c>
      <c r="T2" s="1">
        <f>Reagents!$D$6</f>
        <v>0</v>
      </c>
      <c r="U2" s="1">
        <f>Reagents!$J$6</f>
        <v>0</v>
      </c>
      <c r="V2" s="1">
        <f>Reagents!$D$7</f>
        <v>0</v>
      </c>
      <c r="W2" s="1">
        <f>Reagents!$J$7</f>
        <v>0</v>
      </c>
      <c r="X2" s="1">
        <f>Reagents!$D$8</f>
        <v>0</v>
      </c>
      <c r="Y2" s="1">
        <f>Reagents!$J$8</f>
        <v>0</v>
      </c>
      <c r="Z2" s="1">
        <f>Reagents!$D$9</f>
        <v>0</v>
      </c>
      <c r="AA2" s="1">
        <f>Reagents!$J$9</f>
        <v>0</v>
      </c>
      <c r="AB2" s="1">
        <f>Reagents!$D$10</f>
        <v>0</v>
      </c>
      <c r="AC2" s="1">
        <f>Reagents!$J$10</f>
        <v>0</v>
      </c>
      <c r="AD2" s="1">
        <f>Reagents!$D$11</f>
        <v>0</v>
      </c>
      <c r="AE2" s="1">
        <f>Reagents!$J$11</f>
        <v>0</v>
      </c>
      <c r="AF2" t="str">
        <f>Reagents!$C$12</f>
        <v>-</v>
      </c>
      <c r="AG2">
        <f>Reagents!$D$12</f>
        <v>0</v>
      </c>
      <c r="AH2">
        <f>Reagents!$J12</f>
        <v>0</v>
      </c>
      <c r="AI2" t="str">
        <f>Reagents!$C$24</f>
        <v>-</v>
      </c>
      <c r="AJ2">
        <f>Reagents!$D$24</f>
        <v>0</v>
      </c>
      <c r="AK2">
        <f>Reagents!$J$24</f>
        <v>0</v>
      </c>
      <c r="AL2" t="str">
        <f>Reagents!$C$36</f>
        <v>-</v>
      </c>
      <c r="AM2">
        <f>Reagents!$D$36</f>
        <v>0</v>
      </c>
      <c r="AN2">
        <f>Reagents!$J$36</f>
        <v>0</v>
      </c>
      <c r="AO2" t="str">
        <f>Reagents!$C$44</f>
        <v>-</v>
      </c>
      <c r="AP2">
        <f>Reagents!$D$44</f>
        <v>0</v>
      </c>
      <c r="AQ2">
        <f>Reagents!$J$44</f>
        <v>0</v>
      </c>
      <c r="AR2">
        <f>'Plate Planning'!$K$18</f>
        <v>0</v>
      </c>
      <c r="AS2">
        <f>'Plate Planning'!$L$18</f>
        <v>0</v>
      </c>
      <c r="AT2">
        <f>'Uncorrected Area Counts'!G4</f>
        <v>0</v>
      </c>
      <c r="AU2" t="e">
        <f>Yields!E4</f>
        <v>#DIV/0!</v>
      </c>
      <c r="AV2">
        <f>'Plate Planning'!$K$19</f>
        <v>0</v>
      </c>
      <c r="AW2">
        <f>'Plate Planning'!$L$19</f>
        <v>0</v>
      </c>
      <c r="AX2">
        <f>'Uncorrected Area Counts'!H4</f>
        <v>0</v>
      </c>
      <c r="AY2" t="e">
        <f>Yields!F4</f>
        <v>#DIV/0!</v>
      </c>
      <c r="AZ2">
        <f>'Plate Planning'!$K$20</f>
        <v>0</v>
      </c>
      <c r="BA2">
        <f>'Plate Planning'!$L$20</f>
        <v>0</v>
      </c>
      <c r="BB2">
        <f>'Uncorrected Area Counts'!I4</f>
        <v>0</v>
      </c>
      <c r="BC2" t="e">
        <f>Yields!G4</f>
        <v>#DIV/0!</v>
      </c>
      <c r="BD2">
        <f>'Plate Planning'!$K$21</f>
        <v>0</v>
      </c>
      <c r="BE2">
        <f>'Plate Planning'!$L$21</f>
        <v>0</v>
      </c>
      <c r="BF2">
        <f>'Uncorrected Area Counts'!J4</f>
        <v>0</v>
      </c>
      <c r="BG2" t="e">
        <f>Yields!H4</f>
        <v>#DIV/0!</v>
      </c>
      <c r="BH2">
        <f>'Plate Planning'!$K$22</f>
        <v>0</v>
      </c>
      <c r="BI2">
        <f>'Plate Planning'!$L$22</f>
        <v>0</v>
      </c>
      <c r="BJ2">
        <f>'Uncorrected Area Counts'!K4</f>
        <v>0</v>
      </c>
      <c r="BK2" t="e">
        <f>Yields!I4</f>
        <v>#DIV/0!</v>
      </c>
      <c r="BL2">
        <f>'Plate Planning'!$K$23</f>
        <v>0</v>
      </c>
      <c r="BM2">
        <f>'Plate Planning'!$L$23</f>
        <v>0</v>
      </c>
      <c r="BN2">
        <f>'Uncorrected Area Counts'!L4</f>
        <v>0</v>
      </c>
      <c r="BO2" t="e">
        <f>Yields!J4</f>
        <v>#DIV/0!</v>
      </c>
      <c r="BP2">
        <f>'Plate Planning'!$K$24</f>
        <v>0</v>
      </c>
      <c r="BQ2">
        <f>'Plate Planning'!$L$24</f>
        <v>0</v>
      </c>
      <c r="BR2">
        <f>'Uncorrected Area Counts'!M4</f>
        <v>0</v>
      </c>
      <c r="BS2" t="e">
        <f>Yields!K4</f>
        <v>#DIV/0!</v>
      </c>
      <c r="BT2">
        <f>'Plate Planning'!$L$17</f>
        <v>0</v>
      </c>
      <c r="BU2">
        <f>'Plate Planning'!$M$17</f>
        <v>0</v>
      </c>
      <c r="BV2">
        <f>'Uncorrected Area Counts'!F4</f>
        <v>0</v>
      </c>
    </row>
    <row r="3" spans="1:77">
      <c r="A3" s="1">
        <v>2</v>
      </c>
      <c r="B3" s="1">
        <v>2</v>
      </c>
      <c r="C3" s="1">
        <v>1</v>
      </c>
      <c r="D3" s="1">
        <f>'Plate Planning'!$H$16</f>
        <v>0</v>
      </c>
      <c r="E3" s="1" t="str">
        <f>'Plate Planning'!$H$17</f>
        <v>LC-MS</v>
      </c>
      <c r="F3" s="1">
        <f>'Plate Planning'!$H$18</f>
        <v>500</v>
      </c>
      <c r="G3" s="1">
        <f>'Plate Planning'!$H$20</f>
        <v>25</v>
      </c>
      <c r="H3" s="1">
        <f>'Plate Planning'!$H$19</f>
        <v>24</v>
      </c>
      <c r="I3" s="1" t="b">
        <f>'Plate Planning'!$H$21</f>
        <v>1</v>
      </c>
      <c r="J3" s="1" t="str">
        <f>IF('Plate Planning'!$H$22=0, "NA",'Plate Planning'!$H$22)</f>
        <v>NA</v>
      </c>
      <c r="K3" s="1">
        <f>Reagents!$D$2</f>
        <v>0</v>
      </c>
      <c r="L3" s="1">
        <f>Reagents!$D$2</f>
        <v>0</v>
      </c>
      <c r="M3" s="1">
        <f>Reagents!$J$2</f>
        <v>0</v>
      </c>
      <c r="N3" s="1">
        <f>Reagents!$D$3</f>
        <v>0</v>
      </c>
      <c r="O3" s="1">
        <f>Reagents!$J$3</f>
        <v>0</v>
      </c>
      <c r="P3" s="1">
        <f>Reagents!$D$4</f>
        <v>0</v>
      </c>
      <c r="Q3" s="1">
        <f>Reagents!$J$4</f>
        <v>0</v>
      </c>
      <c r="R3" s="1">
        <f>Reagents!$D$5</f>
        <v>0</v>
      </c>
      <c r="S3" s="1">
        <f>Reagents!$J$5</f>
        <v>0</v>
      </c>
      <c r="T3" s="1">
        <f>Reagents!$D$6</f>
        <v>0</v>
      </c>
      <c r="U3" s="1">
        <f>Reagents!$J$6</f>
        <v>0</v>
      </c>
      <c r="V3" s="1">
        <f>Reagents!$D$7</f>
        <v>0</v>
      </c>
      <c r="W3" s="1">
        <f>Reagents!$J$7</f>
        <v>0</v>
      </c>
      <c r="X3" s="1">
        <f>Reagents!$D$8</f>
        <v>0</v>
      </c>
      <c r="Y3" s="1">
        <f>Reagents!$J$8</f>
        <v>0</v>
      </c>
      <c r="Z3" s="1">
        <f>Reagents!$D$9</f>
        <v>0</v>
      </c>
      <c r="AA3" s="1">
        <f>Reagents!$J$9</f>
        <v>0</v>
      </c>
      <c r="AB3" s="1">
        <f>Reagents!$D$10</f>
        <v>0</v>
      </c>
      <c r="AC3" s="1">
        <f>Reagents!$J$10</f>
        <v>0</v>
      </c>
      <c r="AD3" s="1">
        <f>Reagents!$D$11</f>
        <v>0</v>
      </c>
      <c r="AE3" s="1">
        <f>Reagents!$J$11</f>
        <v>0</v>
      </c>
      <c r="AF3" t="str">
        <f>Reagents!$C$13</f>
        <v>-</v>
      </c>
      <c r="AG3">
        <f>Reagents!$D$13</f>
        <v>0</v>
      </c>
      <c r="AH3">
        <f>Reagents!$J$13</f>
        <v>0</v>
      </c>
      <c r="AI3" t="str">
        <f>Reagents!$C$25</f>
        <v>-</v>
      </c>
      <c r="AJ3">
        <f>Reagents!$D$25</f>
        <v>0</v>
      </c>
      <c r="AK3">
        <f>Reagents!$J$25</f>
        <v>0</v>
      </c>
      <c r="AL3" t="str">
        <f>Reagents!$C$36</f>
        <v>-</v>
      </c>
      <c r="AM3">
        <f>Reagents!$D$36</f>
        <v>0</v>
      </c>
      <c r="AN3">
        <f>Reagents!$J$36</f>
        <v>0</v>
      </c>
      <c r="AO3" t="str">
        <f>Reagents!$C$44</f>
        <v>-</v>
      </c>
      <c r="AP3">
        <f>Reagents!$D$44</f>
        <v>0</v>
      </c>
      <c r="AQ3">
        <f>Reagents!$J$44</f>
        <v>0</v>
      </c>
      <c r="AR3">
        <f>'Plate Planning'!$K$18</f>
        <v>0</v>
      </c>
      <c r="AS3">
        <f>'Plate Planning'!$L$18</f>
        <v>0</v>
      </c>
      <c r="AT3">
        <f>'Uncorrected Area Counts'!G5</f>
        <v>0</v>
      </c>
      <c r="AU3" t="e">
        <f>Yields!E5</f>
        <v>#DIV/0!</v>
      </c>
      <c r="AV3">
        <f>'Plate Planning'!$K$19</f>
        <v>0</v>
      </c>
      <c r="AW3">
        <f>'Plate Planning'!$L$19</f>
        <v>0</v>
      </c>
      <c r="AX3">
        <f>'Uncorrected Area Counts'!H5</f>
        <v>0</v>
      </c>
      <c r="AY3" t="e">
        <f>Yields!F5</f>
        <v>#DIV/0!</v>
      </c>
      <c r="AZ3">
        <f>'Plate Planning'!$K$20</f>
        <v>0</v>
      </c>
      <c r="BA3">
        <f>'Plate Planning'!$L$20</f>
        <v>0</v>
      </c>
      <c r="BB3">
        <f>'Uncorrected Area Counts'!I5</f>
        <v>0</v>
      </c>
      <c r="BC3" t="e">
        <f>Yields!G5</f>
        <v>#DIV/0!</v>
      </c>
      <c r="BD3">
        <f>'Plate Planning'!$K$21</f>
        <v>0</v>
      </c>
      <c r="BE3">
        <f>'Plate Planning'!$L$21</f>
        <v>0</v>
      </c>
      <c r="BF3">
        <f>'Uncorrected Area Counts'!J5</f>
        <v>0</v>
      </c>
      <c r="BG3" t="e">
        <f>Yields!H5</f>
        <v>#DIV/0!</v>
      </c>
      <c r="BH3">
        <f>'Plate Planning'!$K$22</f>
        <v>0</v>
      </c>
      <c r="BI3">
        <f>'Plate Planning'!$L$22</f>
        <v>0</v>
      </c>
      <c r="BJ3">
        <f>'Uncorrected Area Counts'!K5</f>
        <v>0</v>
      </c>
      <c r="BK3" t="e">
        <f>Yields!I5</f>
        <v>#DIV/0!</v>
      </c>
      <c r="BL3">
        <f>'Plate Planning'!$K$23</f>
        <v>0</v>
      </c>
      <c r="BM3">
        <f>'Plate Planning'!$L$23</f>
        <v>0</v>
      </c>
      <c r="BN3">
        <f>'Uncorrected Area Counts'!L5</f>
        <v>0</v>
      </c>
      <c r="BO3" t="e">
        <f>Yields!J5</f>
        <v>#DIV/0!</v>
      </c>
      <c r="BP3">
        <f>'Plate Planning'!$K$24</f>
        <v>0</v>
      </c>
      <c r="BQ3">
        <f>'Plate Planning'!$L$24</f>
        <v>0</v>
      </c>
      <c r="BR3">
        <f>'Uncorrected Area Counts'!M5</f>
        <v>0</v>
      </c>
      <c r="BS3" t="e">
        <f>Yields!K5</f>
        <v>#DIV/0!</v>
      </c>
      <c r="BT3">
        <f>'Plate Planning'!$L$17</f>
        <v>0</v>
      </c>
      <c r="BU3">
        <f>'Plate Planning'!$M$17</f>
        <v>0</v>
      </c>
      <c r="BV3">
        <f>'Uncorrected Area Counts'!F5</f>
        <v>0</v>
      </c>
    </row>
    <row r="4" spans="1:77">
      <c r="A4" s="1">
        <v>3</v>
      </c>
      <c r="B4" s="1">
        <v>3</v>
      </c>
      <c r="C4" s="1">
        <v>1</v>
      </c>
      <c r="D4" s="1">
        <f>'Plate Planning'!$H$16</f>
        <v>0</v>
      </c>
      <c r="E4" s="1" t="str">
        <f>'Plate Planning'!$H$17</f>
        <v>LC-MS</v>
      </c>
      <c r="F4" s="1">
        <f>'Plate Planning'!$H$18</f>
        <v>500</v>
      </c>
      <c r="G4" s="1">
        <f>'Plate Planning'!$H$20</f>
        <v>25</v>
      </c>
      <c r="H4" s="1">
        <f>'Plate Planning'!$H$19</f>
        <v>24</v>
      </c>
      <c r="I4" s="1" t="b">
        <f>'Plate Planning'!$H$21</f>
        <v>1</v>
      </c>
      <c r="J4" s="1" t="str">
        <f>IF('Plate Planning'!$H$22=0, "NA",'Plate Planning'!$H$22)</f>
        <v>NA</v>
      </c>
      <c r="K4" s="1">
        <f>Reagents!$D$2</f>
        <v>0</v>
      </c>
      <c r="L4" s="1">
        <f>Reagents!$D$2</f>
        <v>0</v>
      </c>
      <c r="M4" s="1">
        <f>Reagents!$J$2</f>
        <v>0</v>
      </c>
      <c r="N4" s="1">
        <f>Reagents!$D$3</f>
        <v>0</v>
      </c>
      <c r="O4" s="1">
        <f>Reagents!$J$3</f>
        <v>0</v>
      </c>
      <c r="P4" s="1">
        <f>Reagents!$D$4</f>
        <v>0</v>
      </c>
      <c r="Q4" s="1">
        <f>Reagents!$J$4</f>
        <v>0</v>
      </c>
      <c r="R4" s="1">
        <f>Reagents!$D$5</f>
        <v>0</v>
      </c>
      <c r="S4" s="1">
        <f>Reagents!$J$5</f>
        <v>0</v>
      </c>
      <c r="T4" s="1">
        <f>Reagents!$D$6</f>
        <v>0</v>
      </c>
      <c r="U4" s="1">
        <f>Reagents!$J$6</f>
        <v>0</v>
      </c>
      <c r="V4" s="1">
        <f>Reagents!$D$7</f>
        <v>0</v>
      </c>
      <c r="W4" s="1">
        <f>Reagents!$J$7</f>
        <v>0</v>
      </c>
      <c r="X4" s="1">
        <f>Reagents!$D$8</f>
        <v>0</v>
      </c>
      <c r="Y4" s="1">
        <f>Reagents!$J$8</f>
        <v>0</v>
      </c>
      <c r="Z4" s="1">
        <f>Reagents!$D$9</f>
        <v>0</v>
      </c>
      <c r="AA4" s="1">
        <f>Reagents!$J$9</f>
        <v>0</v>
      </c>
      <c r="AB4" s="1">
        <f>Reagents!$D$10</f>
        <v>0</v>
      </c>
      <c r="AC4" s="1">
        <f>Reagents!$J$10</f>
        <v>0</v>
      </c>
      <c r="AD4" s="1">
        <f>Reagents!$D$11</f>
        <v>0</v>
      </c>
      <c r="AE4" s="1">
        <f>Reagents!$J$11</f>
        <v>0</v>
      </c>
      <c r="AF4" t="str">
        <f>Reagents!$C$14</f>
        <v>-</v>
      </c>
      <c r="AG4">
        <f>Reagents!$D$14</f>
        <v>0</v>
      </c>
      <c r="AH4">
        <f>Reagents!$J$14</f>
        <v>0</v>
      </c>
      <c r="AI4" t="str">
        <f>Reagents!$C$26</f>
        <v>-</v>
      </c>
      <c r="AJ4">
        <f>Reagents!$D$26</f>
        <v>0</v>
      </c>
      <c r="AK4">
        <f>Reagents!$J$26</f>
        <v>0</v>
      </c>
      <c r="AL4" t="str">
        <f>Reagents!$C$36</f>
        <v>-</v>
      </c>
      <c r="AM4">
        <f>Reagents!$D$36</f>
        <v>0</v>
      </c>
      <c r="AN4">
        <f>Reagents!$J$36</f>
        <v>0</v>
      </c>
      <c r="AO4" t="str">
        <f>Reagents!$C$44</f>
        <v>-</v>
      </c>
      <c r="AP4">
        <f>Reagents!$D$44</f>
        <v>0</v>
      </c>
      <c r="AQ4">
        <f>Reagents!$J$44</f>
        <v>0</v>
      </c>
      <c r="AR4">
        <f>'Plate Planning'!$K$18</f>
        <v>0</v>
      </c>
      <c r="AS4">
        <f>'Plate Planning'!$L$18</f>
        <v>0</v>
      </c>
      <c r="AT4">
        <f>'Uncorrected Area Counts'!G6</f>
        <v>0</v>
      </c>
      <c r="AU4" t="e">
        <f>Yields!E6</f>
        <v>#DIV/0!</v>
      </c>
      <c r="AV4">
        <f>'Plate Planning'!$K$19</f>
        <v>0</v>
      </c>
      <c r="AW4">
        <f>'Plate Planning'!$L$19</f>
        <v>0</v>
      </c>
      <c r="AX4">
        <f>'Uncorrected Area Counts'!H6</f>
        <v>0</v>
      </c>
      <c r="AY4" t="e">
        <f>Yields!F6</f>
        <v>#DIV/0!</v>
      </c>
      <c r="AZ4">
        <f>'Plate Planning'!$K$20</f>
        <v>0</v>
      </c>
      <c r="BA4">
        <f>'Plate Planning'!$L$20</f>
        <v>0</v>
      </c>
      <c r="BB4">
        <f>'Uncorrected Area Counts'!I6</f>
        <v>0</v>
      </c>
      <c r="BC4" t="e">
        <f>Yields!G6</f>
        <v>#DIV/0!</v>
      </c>
      <c r="BD4">
        <f>'Plate Planning'!$K$21</f>
        <v>0</v>
      </c>
      <c r="BE4">
        <f>'Plate Planning'!$L$21</f>
        <v>0</v>
      </c>
      <c r="BF4">
        <f>'Uncorrected Area Counts'!J6</f>
        <v>0</v>
      </c>
      <c r="BG4" t="e">
        <f>Yields!H6</f>
        <v>#DIV/0!</v>
      </c>
      <c r="BH4">
        <f>'Plate Planning'!$K$22</f>
        <v>0</v>
      </c>
      <c r="BI4">
        <f>'Plate Planning'!$L$22</f>
        <v>0</v>
      </c>
      <c r="BJ4">
        <f>'Uncorrected Area Counts'!K6</f>
        <v>0</v>
      </c>
      <c r="BK4" t="e">
        <f>Yields!I6</f>
        <v>#DIV/0!</v>
      </c>
      <c r="BL4">
        <f>'Plate Planning'!$K$23</f>
        <v>0</v>
      </c>
      <c r="BM4">
        <f>'Plate Planning'!$L$23</f>
        <v>0</v>
      </c>
      <c r="BN4">
        <f>'Uncorrected Area Counts'!L6</f>
        <v>0</v>
      </c>
      <c r="BO4" t="e">
        <f>Yields!J6</f>
        <v>#DIV/0!</v>
      </c>
      <c r="BP4">
        <f>'Plate Planning'!$K$24</f>
        <v>0</v>
      </c>
      <c r="BQ4">
        <f>'Plate Planning'!$L$24</f>
        <v>0</v>
      </c>
      <c r="BR4">
        <f>'Uncorrected Area Counts'!M6</f>
        <v>0</v>
      </c>
      <c r="BS4" t="e">
        <f>Yields!K6</f>
        <v>#DIV/0!</v>
      </c>
      <c r="BT4">
        <f>'Plate Planning'!$L$17</f>
        <v>0</v>
      </c>
      <c r="BU4">
        <f>'Plate Planning'!$M$17</f>
        <v>0</v>
      </c>
      <c r="BV4">
        <f>'Uncorrected Area Counts'!F6</f>
        <v>0</v>
      </c>
    </row>
    <row r="5" spans="1:77">
      <c r="A5" s="1">
        <v>4</v>
      </c>
      <c r="B5" s="1">
        <v>4</v>
      </c>
      <c r="C5" s="1">
        <v>1</v>
      </c>
      <c r="D5" s="1">
        <f>'Plate Planning'!$H$16</f>
        <v>0</v>
      </c>
      <c r="E5" s="1" t="str">
        <f>'Plate Planning'!$H$17</f>
        <v>LC-MS</v>
      </c>
      <c r="F5" s="1">
        <f>'Plate Planning'!$H$18</f>
        <v>500</v>
      </c>
      <c r="G5" s="1">
        <f>'Plate Planning'!$H$20</f>
        <v>25</v>
      </c>
      <c r="H5" s="1">
        <f>'Plate Planning'!$H$19</f>
        <v>24</v>
      </c>
      <c r="I5" s="1" t="b">
        <f>'Plate Planning'!$H$21</f>
        <v>1</v>
      </c>
      <c r="J5" s="1" t="str">
        <f>IF('Plate Planning'!$H$22=0, "NA",'Plate Planning'!$H$22)</f>
        <v>NA</v>
      </c>
      <c r="K5" s="1">
        <f>Reagents!$D$2</f>
        <v>0</v>
      </c>
      <c r="L5" s="1">
        <f>Reagents!$D$2</f>
        <v>0</v>
      </c>
      <c r="M5" s="1">
        <f>Reagents!$J$2</f>
        <v>0</v>
      </c>
      <c r="N5" s="1">
        <f>Reagents!$D$3</f>
        <v>0</v>
      </c>
      <c r="O5" s="1">
        <f>Reagents!$J$3</f>
        <v>0</v>
      </c>
      <c r="P5" s="1">
        <f>Reagents!$D$4</f>
        <v>0</v>
      </c>
      <c r="Q5" s="1">
        <f>Reagents!$J$4</f>
        <v>0</v>
      </c>
      <c r="R5" s="1">
        <f>Reagents!$D$5</f>
        <v>0</v>
      </c>
      <c r="S5" s="1">
        <f>Reagents!$J$5</f>
        <v>0</v>
      </c>
      <c r="T5" s="1">
        <f>Reagents!$D$6</f>
        <v>0</v>
      </c>
      <c r="U5" s="1">
        <f>Reagents!$J$6</f>
        <v>0</v>
      </c>
      <c r="V5" s="1">
        <f>Reagents!$D$7</f>
        <v>0</v>
      </c>
      <c r="W5" s="1">
        <f>Reagents!$J$7</f>
        <v>0</v>
      </c>
      <c r="X5" s="1">
        <f>Reagents!$D$8</f>
        <v>0</v>
      </c>
      <c r="Y5" s="1">
        <f>Reagents!$J$8</f>
        <v>0</v>
      </c>
      <c r="Z5" s="1">
        <f>Reagents!$D$9</f>
        <v>0</v>
      </c>
      <c r="AA5" s="1">
        <f>Reagents!$J$9</f>
        <v>0</v>
      </c>
      <c r="AB5" s="1">
        <f>Reagents!$D$10</f>
        <v>0</v>
      </c>
      <c r="AC5" s="1">
        <f>Reagents!$J$10</f>
        <v>0</v>
      </c>
      <c r="AD5" s="1">
        <f>Reagents!$D$11</f>
        <v>0</v>
      </c>
      <c r="AE5" s="1">
        <f>Reagents!$J$11</f>
        <v>0</v>
      </c>
      <c r="AF5" t="str">
        <f>Reagents!$C$15</f>
        <v>-</v>
      </c>
      <c r="AG5">
        <f>Reagents!$D$15</f>
        <v>0</v>
      </c>
      <c r="AH5">
        <f>Reagents!$J$15</f>
        <v>0</v>
      </c>
      <c r="AI5" t="str">
        <f>Reagents!$C$27</f>
        <v>-</v>
      </c>
      <c r="AJ5">
        <f>Reagents!$D$27</f>
        <v>0</v>
      </c>
      <c r="AK5">
        <f>Reagents!$J$27</f>
        <v>0</v>
      </c>
      <c r="AL5" t="str">
        <f>Reagents!$C$36</f>
        <v>-</v>
      </c>
      <c r="AM5">
        <f>Reagents!$D$36</f>
        <v>0</v>
      </c>
      <c r="AN5">
        <f>Reagents!$J$36</f>
        <v>0</v>
      </c>
      <c r="AO5" t="str">
        <f>Reagents!$C$44</f>
        <v>-</v>
      </c>
      <c r="AP5">
        <f>Reagents!$D$44</f>
        <v>0</v>
      </c>
      <c r="AQ5">
        <f>Reagents!$J$44</f>
        <v>0</v>
      </c>
      <c r="AR5">
        <f>'Plate Planning'!$K$18</f>
        <v>0</v>
      </c>
      <c r="AS5">
        <f>'Plate Planning'!$L$18</f>
        <v>0</v>
      </c>
      <c r="AT5">
        <f>'Uncorrected Area Counts'!G7</f>
        <v>0</v>
      </c>
      <c r="AU5" t="e">
        <f>Yields!E7</f>
        <v>#DIV/0!</v>
      </c>
      <c r="AV5">
        <f>'Plate Planning'!$K$19</f>
        <v>0</v>
      </c>
      <c r="AW5">
        <f>'Plate Planning'!$L$19</f>
        <v>0</v>
      </c>
      <c r="AX5">
        <f>'Uncorrected Area Counts'!H7</f>
        <v>0</v>
      </c>
      <c r="AY5" t="e">
        <f>Yields!F7</f>
        <v>#DIV/0!</v>
      </c>
      <c r="AZ5">
        <f>'Plate Planning'!$K$20</f>
        <v>0</v>
      </c>
      <c r="BA5">
        <f>'Plate Planning'!$L$20</f>
        <v>0</v>
      </c>
      <c r="BB5">
        <f>'Uncorrected Area Counts'!I7</f>
        <v>0</v>
      </c>
      <c r="BC5" t="e">
        <f>Yields!G7</f>
        <v>#DIV/0!</v>
      </c>
      <c r="BD5">
        <f>'Plate Planning'!$K$21</f>
        <v>0</v>
      </c>
      <c r="BE5">
        <f>'Plate Planning'!$L$21</f>
        <v>0</v>
      </c>
      <c r="BF5">
        <f>'Uncorrected Area Counts'!J7</f>
        <v>0</v>
      </c>
      <c r="BG5" t="e">
        <f>Yields!H7</f>
        <v>#DIV/0!</v>
      </c>
      <c r="BH5">
        <f>'Plate Planning'!$K$22</f>
        <v>0</v>
      </c>
      <c r="BI5">
        <f>'Plate Planning'!$L$22</f>
        <v>0</v>
      </c>
      <c r="BJ5">
        <f>'Uncorrected Area Counts'!K7</f>
        <v>0</v>
      </c>
      <c r="BK5" t="e">
        <f>Yields!I7</f>
        <v>#DIV/0!</v>
      </c>
      <c r="BL5">
        <f>'Plate Planning'!$K$23</f>
        <v>0</v>
      </c>
      <c r="BM5">
        <f>'Plate Planning'!$L$23</f>
        <v>0</v>
      </c>
      <c r="BN5">
        <f>'Uncorrected Area Counts'!L7</f>
        <v>0</v>
      </c>
      <c r="BO5" t="e">
        <f>Yields!J7</f>
        <v>#DIV/0!</v>
      </c>
      <c r="BP5">
        <f>'Plate Planning'!$K$24</f>
        <v>0</v>
      </c>
      <c r="BQ5">
        <f>'Plate Planning'!$L$24</f>
        <v>0</v>
      </c>
      <c r="BR5">
        <f>'Uncorrected Area Counts'!M7</f>
        <v>0</v>
      </c>
      <c r="BS5" t="e">
        <f>Yields!K7</f>
        <v>#DIV/0!</v>
      </c>
      <c r="BT5">
        <f>'Plate Planning'!$L$17</f>
        <v>0</v>
      </c>
      <c r="BU5">
        <f>'Plate Planning'!$M$17</f>
        <v>0</v>
      </c>
      <c r="BV5">
        <f>'Uncorrected Area Counts'!F7</f>
        <v>0</v>
      </c>
    </row>
    <row r="6" spans="1:77">
      <c r="A6" s="1">
        <v>5</v>
      </c>
      <c r="B6" s="1">
        <v>5</v>
      </c>
      <c r="C6" s="1">
        <v>1</v>
      </c>
      <c r="D6" s="1">
        <f>'Plate Planning'!$H$16</f>
        <v>0</v>
      </c>
      <c r="E6" s="1" t="str">
        <f>'Plate Planning'!$H$17</f>
        <v>LC-MS</v>
      </c>
      <c r="F6" s="1">
        <f>'Plate Planning'!$H$18</f>
        <v>500</v>
      </c>
      <c r="G6" s="1">
        <f>'Plate Planning'!$H$20</f>
        <v>25</v>
      </c>
      <c r="H6" s="1">
        <f>'Plate Planning'!$H$19</f>
        <v>24</v>
      </c>
      <c r="I6" s="1" t="b">
        <f>'Plate Planning'!$H$21</f>
        <v>1</v>
      </c>
      <c r="J6" s="1" t="str">
        <f>IF('Plate Planning'!$H$22=0, "NA",'Plate Planning'!$H$22)</f>
        <v>NA</v>
      </c>
      <c r="K6" s="1">
        <f>Reagents!$D$2</f>
        <v>0</v>
      </c>
      <c r="L6" s="1">
        <f>Reagents!$D$2</f>
        <v>0</v>
      </c>
      <c r="M6" s="1">
        <f>Reagents!$J$2</f>
        <v>0</v>
      </c>
      <c r="N6" s="1">
        <f>Reagents!$D$3</f>
        <v>0</v>
      </c>
      <c r="O6" s="1">
        <f>Reagents!$J$3</f>
        <v>0</v>
      </c>
      <c r="P6" s="1">
        <f>Reagents!$D$4</f>
        <v>0</v>
      </c>
      <c r="Q6" s="1">
        <f>Reagents!$J$4</f>
        <v>0</v>
      </c>
      <c r="R6" s="1">
        <f>Reagents!$D$5</f>
        <v>0</v>
      </c>
      <c r="S6" s="1">
        <f>Reagents!$J$5</f>
        <v>0</v>
      </c>
      <c r="T6" s="1">
        <f>Reagents!$D$6</f>
        <v>0</v>
      </c>
      <c r="U6" s="1">
        <f>Reagents!$J$6</f>
        <v>0</v>
      </c>
      <c r="V6" s="1">
        <f>Reagents!$D$7</f>
        <v>0</v>
      </c>
      <c r="W6" s="1">
        <f>Reagents!$J$7</f>
        <v>0</v>
      </c>
      <c r="X6" s="1">
        <f>Reagents!$D$8</f>
        <v>0</v>
      </c>
      <c r="Y6" s="1">
        <f>Reagents!$J$8</f>
        <v>0</v>
      </c>
      <c r="Z6" s="1">
        <f>Reagents!$D$9</f>
        <v>0</v>
      </c>
      <c r="AA6" s="1">
        <f>Reagents!$J$9</f>
        <v>0</v>
      </c>
      <c r="AB6" s="1">
        <f>Reagents!$D$10</f>
        <v>0</v>
      </c>
      <c r="AC6" s="1">
        <f>Reagents!$J$10</f>
        <v>0</v>
      </c>
      <c r="AD6" s="1">
        <f>Reagents!$D$11</f>
        <v>0</v>
      </c>
      <c r="AE6" s="1">
        <f>Reagents!$J$11</f>
        <v>0</v>
      </c>
      <c r="AF6" t="str">
        <f>Reagents!$C$16</f>
        <v>-</v>
      </c>
      <c r="AG6">
        <f>Reagents!$D$16</f>
        <v>0</v>
      </c>
      <c r="AH6">
        <f>Reagents!$J$16</f>
        <v>0</v>
      </c>
      <c r="AI6" t="str">
        <f>Reagents!$C$28</f>
        <v>-</v>
      </c>
      <c r="AJ6">
        <f>Reagents!$D$28</f>
        <v>0</v>
      </c>
      <c r="AK6">
        <f>Reagents!$J$28</f>
        <v>0</v>
      </c>
      <c r="AL6" t="str">
        <f>Reagents!$C$36</f>
        <v>-</v>
      </c>
      <c r="AM6">
        <f>Reagents!$D$36</f>
        <v>0</v>
      </c>
      <c r="AN6">
        <f>Reagents!$J$36</f>
        <v>0</v>
      </c>
      <c r="AO6" t="str">
        <f>Reagents!$C$44</f>
        <v>-</v>
      </c>
      <c r="AP6">
        <f>Reagents!$D$44</f>
        <v>0</v>
      </c>
      <c r="AQ6">
        <f>Reagents!$J$44</f>
        <v>0</v>
      </c>
      <c r="AR6">
        <f>'Plate Planning'!$K$18</f>
        <v>0</v>
      </c>
      <c r="AS6">
        <f>'Plate Planning'!$L$18</f>
        <v>0</v>
      </c>
      <c r="AT6">
        <f>'Uncorrected Area Counts'!G8</f>
        <v>0</v>
      </c>
      <c r="AU6" t="e">
        <f>Yields!E8</f>
        <v>#DIV/0!</v>
      </c>
      <c r="AV6">
        <f>'Plate Planning'!$K$19</f>
        <v>0</v>
      </c>
      <c r="AW6">
        <f>'Plate Planning'!$L$19</f>
        <v>0</v>
      </c>
      <c r="AX6">
        <f>'Uncorrected Area Counts'!H8</f>
        <v>0</v>
      </c>
      <c r="AY6" t="e">
        <f>Yields!F8</f>
        <v>#DIV/0!</v>
      </c>
      <c r="AZ6">
        <f>'Plate Planning'!$K$20</f>
        <v>0</v>
      </c>
      <c r="BA6">
        <f>'Plate Planning'!$L$20</f>
        <v>0</v>
      </c>
      <c r="BB6">
        <f>'Uncorrected Area Counts'!I8</f>
        <v>0</v>
      </c>
      <c r="BC6" t="e">
        <f>Yields!G8</f>
        <v>#DIV/0!</v>
      </c>
      <c r="BD6">
        <f>'Plate Planning'!$K$21</f>
        <v>0</v>
      </c>
      <c r="BE6">
        <f>'Plate Planning'!$L$21</f>
        <v>0</v>
      </c>
      <c r="BF6">
        <f>'Uncorrected Area Counts'!J8</f>
        <v>0</v>
      </c>
      <c r="BG6" t="e">
        <f>Yields!H8</f>
        <v>#DIV/0!</v>
      </c>
      <c r="BH6">
        <f>'Plate Planning'!$K$22</f>
        <v>0</v>
      </c>
      <c r="BI6">
        <f>'Plate Planning'!$L$22</f>
        <v>0</v>
      </c>
      <c r="BJ6">
        <f>'Uncorrected Area Counts'!K8</f>
        <v>0</v>
      </c>
      <c r="BK6" t="e">
        <f>Yields!I8</f>
        <v>#DIV/0!</v>
      </c>
      <c r="BL6">
        <f>'Plate Planning'!$K$23</f>
        <v>0</v>
      </c>
      <c r="BM6">
        <f>'Plate Planning'!$L$23</f>
        <v>0</v>
      </c>
      <c r="BN6">
        <f>'Uncorrected Area Counts'!L8</f>
        <v>0</v>
      </c>
      <c r="BO6" t="e">
        <f>Yields!J8</f>
        <v>#DIV/0!</v>
      </c>
      <c r="BP6">
        <f>'Plate Planning'!$K$24</f>
        <v>0</v>
      </c>
      <c r="BQ6">
        <f>'Plate Planning'!$L$24</f>
        <v>0</v>
      </c>
      <c r="BR6">
        <f>'Uncorrected Area Counts'!M8</f>
        <v>0</v>
      </c>
      <c r="BS6" t="e">
        <f>Yields!K8</f>
        <v>#DIV/0!</v>
      </c>
      <c r="BT6">
        <f>'Plate Planning'!$L$17</f>
        <v>0</v>
      </c>
      <c r="BU6">
        <f>'Plate Planning'!$M$17</f>
        <v>0</v>
      </c>
      <c r="BV6">
        <f>'Uncorrected Area Counts'!F8</f>
        <v>0</v>
      </c>
    </row>
    <row r="7" spans="1:77">
      <c r="A7" s="1">
        <v>6</v>
      </c>
      <c r="B7" s="1">
        <v>6</v>
      </c>
      <c r="C7" s="1">
        <v>1</v>
      </c>
      <c r="D7" s="1">
        <f>'Plate Planning'!$H$16</f>
        <v>0</v>
      </c>
      <c r="E7" s="1" t="str">
        <f>'Plate Planning'!$H$17</f>
        <v>LC-MS</v>
      </c>
      <c r="F7" s="1">
        <f>'Plate Planning'!$H$18</f>
        <v>500</v>
      </c>
      <c r="G7" s="1">
        <f>'Plate Planning'!$H$20</f>
        <v>25</v>
      </c>
      <c r="H7" s="1">
        <f>'Plate Planning'!$H$19</f>
        <v>24</v>
      </c>
      <c r="I7" s="1" t="b">
        <f>'Plate Planning'!$H$21</f>
        <v>1</v>
      </c>
      <c r="J7" s="1" t="str">
        <f>IF('Plate Planning'!$H$22=0, "NA",'Plate Planning'!$H$22)</f>
        <v>NA</v>
      </c>
      <c r="K7" s="1">
        <f>Reagents!$D$2</f>
        <v>0</v>
      </c>
      <c r="L7" s="1">
        <f>Reagents!$D$2</f>
        <v>0</v>
      </c>
      <c r="M7" s="1">
        <f>Reagents!$J$2</f>
        <v>0</v>
      </c>
      <c r="N7" s="1">
        <f>Reagents!$D$3</f>
        <v>0</v>
      </c>
      <c r="O7" s="1">
        <f>Reagents!$J$3</f>
        <v>0</v>
      </c>
      <c r="P7" s="1">
        <f>Reagents!$D$4</f>
        <v>0</v>
      </c>
      <c r="Q7" s="1">
        <f>Reagents!$J$4</f>
        <v>0</v>
      </c>
      <c r="R7" s="1">
        <f>Reagents!$D$5</f>
        <v>0</v>
      </c>
      <c r="S7" s="1">
        <f>Reagents!$J$5</f>
        <v>0</v>
      </c>
      <c r="T7" s="1">
        <f>Reagents!$D$6</f>
        <v>0</v>
      </c>
      <c r="U7" s="1">
        <f>Reagents!$J$6</f>
        <v>0</v>
      </c>
      <c r="V7" s="1">
        <f>Reagents!$D$7</f>
        <v>0</v>
      </c>
      <c r="W7" s="1">
        <f>Reagents!$J$7</f>
        <v>0</v>
      </c>
      <c r="X7" s="1">
        <f>Reagents!$D$8</f>
        <v>0</v>
      </c>
      <c r="Y7" s="1">
        <f>Reagents!$J$8</f>
        <v>0</v>
      </c>
      <c r="Z7" s="1">
        <f>Reagents!$D$9</f>
        <v>0</v>
      </c>
      <c r="AA7" s="1">
        <f>Reagents!$J$9</f>
        <v>0</v>
      </c>
      <c r="AB7" s="1">
        <f>Reagents!$D$10</f>
        <v>0</v>
      </c>
      <c r="AC7" s="1">
        <f>Reagents!$J$10</f>
        <v>0</v>
      </c>
      <c r="AD7" s="1">
        <f>Reagents!$D$11</f>
        <v>0</v>
      </c>
      <c r="AE7" s="1">
        <f>Reagents!$J$11</f>
        <v>0</v>
      </c>
      <c r="AF7" t="str">
        <f>Reagents!$C$17</f>
        <v>-</v>
      </c>
      <c r="AG7">
        <f>Reagents!$D$17</f>
        <v>0</v>
      </c>
      <c r="AH7">
        <f>Reagents!$J$17</f>
        <v>0</v>
      </c>
      <c r="AI7" t="str">
        <f>Reagents!$C$29</f>
        <v>-</v>
      </c>
      <c r="AJ7">
        <f>Reagents!$D$29</f>
        <v>0</v>
      </c>
      <c r="AK7">
        <f>Reagents!$J$29</f>
        <v>0</v>
      </c>
      <c r="AL7" t="str">
        <f>Reagents!$C$36</f>
        <v>-</v>
      </c>
      <c r="AM7">
        <f>Reagents!$D$36</f>
        <v>0</v>
      </c>
      <c r="AN7">
        <f>Reagents!$J$36</f>
        <v>0</v>
      </c>
      <c r="AO7" t="str">
        <f>Reagents!$C$44</f>
        <v>-</v>
      </c>
      <c r="AP7">
        <f>Reagents!$D$44</f>
        <v>0</v>
      </c>
      <c r="AQ7">
        <f>Reagents!$J$44</f>
        <v>0</v>
      </c>
      <c r="AR7">
        <f>'Plate Planning'!$K$18</f>
        <v>0</v>
      </c>
      <c r="AS7">
        <f>'Plate Planning'!$L$18</f>
        <v>0</v>
      </c>
      <c r="AT7">
        <f>'Uncorrected Area Counts'!G9</f>
        <v>0</v>
      </c>
      <c r="AU7" t="e">
        <f>Yields!E9</f>
        <v>#DIV/0!</v>
      </c>
      <c r="AV7">
        <f>'Plate Planning'!$K$19</f>
        <v>0</v>
      </c>
      <c r="AW7">
        <f>'Plate Planning'!$L$19</f>
        <v>0</v>
      </c>
      <c r="AX7">
        <f>'Uncorrected Area Counts'!H9</f>
        <v>0</v>
      </c>
      <c r="AY7" t="e">
        <f>Yields!F9</f>
        <v>#DIV/0!</v>
      </c>
      <c r="AZ7">
        <f>'Plate Planning'!$K$20</f>
        <v>0</v>
      </c>
      <c r="BA7">
        <f>'Plate Planning'!$L$20</f>
        <v>0</v>
      </c>
      <c r="BB7">
        <f>'Uncorrected Area Counts'!I9</f>
        <v>0</v>
      </c>
      <c r="BC7" t="e">
        <f>Yields!G9</f>
        <v>#DIV/0!</v>
      </c>
      <c r="BD7">
        <f>'Plate Planning'!$K$21</f>
        <v>0</v>
      </c>
      <c r="BE7">
        <f>'Plate Planning'!$L$21</f>
        <v>0</v>
      </c>
      <c r="BF7">
        <f>'Uncorrected Area Counts'!J9</f>
        <v>0</v>
      </c>
      <c r="BG7" t="e">
        <f>Yields!H9</f>
        <v>#DIV/0!</v>
      </c>
      <c r="BH7">
        <f>'Plate Planning'!$K$22</f>
        <v>0</v>
      </c>
      <c r="BI7">
        <f>'Plate Planning'!$L$22</f>
        <v>0</v>
      </c>
      <c r="BJ7">
        <f>'Uncorrected Area Counts'!K9</f>
        <v>0</v>
      </c>
      <c r="BK7" t="e">
        <f>Yields!I9</f>
        <v>#DIV/0!</v>
      </c>
      <c r="BL7">
        <f>'Plate Planning'!$K$23</f>
        <v>0</v>
      </c>
      <c r="BM7">
        <f>'Plate Planning'!$L$23</f>
        <v>0</v>
      </c>
      <c r="BN7">
        <f>'Uncorrected Area Counts'!L9</f>
        <v>0</v>
      </c>
      <c r="BO7" t="e">
        <f>Yields!J9</f>
        <v>#DIV/0!</v>
      </c>
      <c r="BP7">
        <f>'Plate Planning'!$K$24</f>
        <v>0</v>
      </c>
      <c r="BQ7">
        <f>'Plate Planning'!$L$24</f>
        <v>0</v>
      </c>
      <c r="BR7">
        <f>'Uncorrected Area Counts'!M9</f>
        <v>0</v>
      </c>
      <c r="BS7" t="e">
        <f>Yields!K9</f>
        <v>#DIV/0!</v>
      </c>
      <c r="BT7">
        <f>'Plate Planning'!$L$17</f>
        <v>0</v>
      </c>
      <c r="BU7">
        <f>'Plate Planning'!$M$17</f>
        <v>0</v>
      </c>
      <c r="BV7">
        <f>'Uncorrected Area Counts'!F9</f>
        <v>0</v>
      </c>
    </row>
    <row r="8" spans="1:77">
      <c r="A8" s="1">
        <v>7</v>
      </c>
      <c r="B8" s="1">
        <v>7</v>
      </c>
      <c r="C8" s="1">
        <v>1</v>
      </c>
      <c r="D8" s="1">
        <f>'Plate Planning'!$H$16</f>
        <v>0</v>
      </c>
      <c r="E8" s="1" t="str">
        <f>'Plate Planning'!$H$17</f>
        <v>LC-MS</v>
      </c>
      <c r="F8" s="1">
        <f>'Plate Planning'!$H$18</f>
        <v>500</v>
      </c>
      <c r="G8" s="1">
        <f>'Plate Planning'!$H$20</f>
        <v>25</v>
      </c>
      <c r="H8" s="1">
        <f>'Plate Planning'!$H$19</f>
        <v>24</v>
      </c>
      <c r="I8" s="1" t="b">
        <f>'Plate Planning'!$H$21</f>
        <v>1</v>
      </c>
      <c r="J8" s="1" t="str">
        <f>IF('Plate Planning'!$H$22=0, "NA",'Plate Planning'!$H$22)</f>
        <v>NA</v>
      </c>
      <c r="K8" s="1">
        <f>Reagents!$D$2</f>
        <v>0</v>
      </c>
      <c r="L8" s="1">
        <f>Reagents!$D$2</f>
        <v>0</v>
      </c>
      <c r="M8" s="1">
        <f>Reagents!$J$2</f>
        <v>0</v>
      </c>
      <c r="N8" s="1">
        <f>Reagents!$D$3</f>
        <v>0</v>
      </c>
      <c r="O8" s="1">
        <f>Reagents!$J$3</f>
        <v>0</v>
      </c>
      <c r="P8" s="1">
        <f>Reagents!$D$4</f>
        <v>0</v>
      </c>
      <c r="Q8" s="1">
        <f>Reagents!$J$4</f>
        <v>0</v>
      </c>
      <c r="R8" s="1">
        <f>Reagents!$D$5</f>
        <v>0</v>
      </c>
      <c r="S8" s="1">
        <f>Reagents!$J$5</f>
        <v>0</v>
      </c>
      <c r="T8" s="1">
        <f>Reagents!$D$6</f>
        <v>0</v>
      </c>
      <c r="U8" s="1">
        <f>Reagents!$J$6</f>
        <v>0</v>
      </c>
      <c r="V8" s="1">
        <f>Reagents!$D$7</f>
        <v>0</v>
      </c>
      <c r="W8" s="1">
        <f>Reagents!$J$7</f>
        <v>0</v>
      </c>
      <c r="X8" s="1">
        <f>Reagents!$D$8</f>
        <v>0</v>
      </c>
      <c r="Y8" s="1">
        <f>Reagents!$J$8</f>
        <v>0</v>
      </c>
      <c r="Z8" s="1">
        <f>Reagents!$D$9</f>
        <v>0</v>
      </c>
      <c r="AA8" s="1">
        <f>Reagents!$J$9</f>
        <v>0</v>
      </c>
      <c r="AB8" s="1">
        <f>Reagents!$D$10</f>
        <v>0</v>
      </c>
      <c r="AC8" s="1">
        <f>Reagents!$J$10</f>
        <v>0</v>
      </c>
      <c r="AD8" s="1">
        <f>Reagents!$D$11</f>
        <v>0</v>
      </c>
      <c r="AE8" s="1">
        <f>Reagents!$J$11</f>
        <v>0</v>
      </c>
      <c r="AF8" t="str">
        <f>Reagents!$C$18</f>
        <v>-</v>
      </c>
      <c r="AG8">
        <f>Reagents!$D$18</f>
        <v>0</v>
      </c>
      <c r="AH8">
        <f>Reagents!$J$18</f>
        <v>0</v>
      </c>
      <c r="AI8" t="str">
        <f>Reagents!$C$30</f>
        <v>-</v>
      </c>
      <c r="AJ8">
        <f>Reagents!$D$30</f>
        <v>0</v>
      </c>
      <c r="AK8">
        <f>Reagents!$J$30</f>
        <v>0</v>
      </c>
      <c r="AL8" t="str">
        <f>Reagents!$C$36</f>
        <v>-</v>
      </c>
      <c r="AM8">
        <f>Reagents!$D$36</f>
        <v>0</v>
      </c>
      <c r="AN8">
        <f>Reagents!$J$36</f>
        <v>0</v>
      </c>
      <c r="AO8" t="str">
        <f>Reagents!$C$44</f>
        <v>-</v>
      </c>
      <c r="AP8">
        <f>Reagents!$D$44</f>
        <v>0</v>
      </c>
      <c r="AQ8">
        <f>Reagents!$J$44</f>
        <v>0</v>
      </c>
      <c r="AR8">
        <f>'Plate Planning'!$K$18</f>
        <v>0</v>
      </c>
      <c r="AS8">
        <f>'Plate Planning'!$L$18</f>
        <v>0</v>
      </c>
      <c r="AT8">
        <f>'Uncorrected Area Counts'!G10</f>
        <v>0</v>
      </c>
      <c r="AU8" t="e">
        <f>Yields!E10</f>
        <v>#DIV/0!</v>
      </c>
      <c r="AV8">
        <f>'Plate Planning'!$K$19</f>
        <v>0</v>
      </c>
      <c r="AW8">
        <f>'Plate Planning'!$L$19</f>
        <v>0</v>
      </c>
      <c r="AX8">
        <f>'Uncorrected Area Counts'!H10</f>
        <v>0</v>
      </c>
      <c r="AY8" t="e">
        <f>Yields!F10</f>
        <v>#DIV/0!</v>
      </c>
      <c r="AZ8">
        <f>'Plate Planning'!$K$20</f>
        <v>0</v>
      </c>
      <c r="BA8">
        <f>'Plate Planning'!$L$20</f>
        <v>0</v>
      </c>
      <c r="BB8">
        <f>'Uncorrected Area Counts'!I10</f>
        <v>0</v>
      </c>
      <c r="BC8" t="e">
        <f>Yields!G10</f>
        <v>#DIV/0!</v>
      </c>
      <c r="BD8">
        <f>'Plate Planning'!$K$21</f>
        <v>0</v>
      </c>
      <c r="BE8">
        <f>'Plate Planning'!$L$21</f>
        <v>0</v>
      </c>
      <c r="BF8">
        <f>'Uncorrected Area Counts'!J10</f>
        <v>0</v>
      </c>
      <c r="BG8" t="e">
        <f>Yields!H10</f>
        <v>#DIV/0!</v>
      </c>
      <c r="BH8">
        <f>'Plate Planning'!$K$22</f>
        <v>0</v>
      </c>
      <c r="BI8">
        <f>'Plate Planning'!$L$22</f>
        <v>0</v>
      </c>
      <c r="BJ8">
        <f>'Uncorrected Area Counts'!K10</f>
        <v>0</v>
      </c>
      <c r="BK8" t="e">
        <f>Yields!I10</f>
        <v>#DIV/0!</v>
      </c>
      <c r="BL8">
        <f>'Plate Planning'!$K$23</f>
        <v>0</v>
      </c>
      <c r="BM8">
        <f>'Plate Planning'!$L$23</f>
        <v>0</v>
      </c>
      <c r="BN8">
        <f>'Uncorrected Area Counts'!L10</f>
        <v>0</v>
      </c>
      <c r="BO8" t="e">
        <f>Yields!J10</f>
        <v>#DIV/0!</v>
      </c>
      <c r="BP8">
        <f>'Plate Planning'!$K$24</f>
        <v>0</v>
      </c>
      <c r="BQ8">
        <f>'Plate Planning'!$L$24</f>
        <v>0</v>
      </c>
      <c r="BR8">
        <f>'Uncorrected Area Counts'!M10</f>
        <v>0</v>
      </c>
      <c r="BS8" t="e">
        <f>Yields!K10</f>
        <v>#DIV/0!</v>
      </c>
      <c r="BT8">
        <f>'Plate Planning'!$L$17</f>
        <v>0</v>
      </c>
      <c r="BU8">
        <f>'Plate Planning'!$M$17</f>
        <v>0</v>
      </c>
      <c r="BV8">
        <f>'Uncorrected Area Counts'!F10</f>
        <v>0</v>
      </c>
    </row>
    <row r="9" spans="1:77">
      <c r="A9" s="1">
        <v>8</v>
      </c>
      <c r="B9" s="1">
        <v>8</v>
      </c>
      <c r="C9" s="1">
        <v>1</v>
      </c>
      <c r="D9" s="1">
        <f>'Plate Planning'!$H$16</f>
        <v>0</v>
      </c>
      <c r="E9" s="1" t="str">
        <f>'Plate Planning'!$H$17</f>
        <v>LC-MS</v>
      </c>
      <c r="F9" s="1">
        <f>'Plate Planning'!$H$18</f>
        <v>500</v>
      </c>
      <c r="G9" s="1">
        <f>'Plate Planning'!$H$20</f>
        <v>25</v>
      </c>
      <c r="H9" s="1">
        <f>'Plate Planning'!$H$19</f>
        <v>24</v>
      </c>
      <c r="I9" s="1" t="b">
        <f>'Plate Planning'!$H$21</f>
        <v>1</v>
      </c>
      <c r="J9" s="1" t="str">
        <f>IF('Plate Planning'!$H$22=0, "NA",'Plate Planning'!$H$22)</f>
        <v>NA</v>
      </c>
      <c r="K9" s="1">
        <f>Reagents!$D$2</f>
        <v>0</v>
      </c>
      <c r="L9" s="1">
        <f>Reagents!$D$2</f>
        <v>0</v>
      </c>
      <c r="M9" s="1">
        <f>Reagents!$J$2</f>
        <v>0</v>
      </c>
      <c r="N9" s="1">
        <f>Reagents!$D$3</f>
        <v>0</v>
      </c>
      <c r="O9" s="1">
        <f>Reagents!$J$3</f>
        <v>0</v>
      </c>
      <c r="P9" s="1">
        <f>Reagents!$D$4</f>
        <v>0</v>
      </c>
      <c r="Q9" s="1">
        <f>Reagents!$J$4</f>
        <v>0</v>
      </c>
      <c r="R9" s="1">
        <f>Reagents!$D$5</f>
        <v>0</v>
      </c>
      <c r="S9" s="1">
        <f>Reagents!$J$5</f>
        <v>0</v>
      </c>
      <c r="T9" s="1">
        <f>Reagents!$D$6</f>
        <v>0</v>
      </c>
      <c r="U9" s="1">
        <f>Reagents!$J$6</f>
        <v>0</v>
      </c>
      <c r="V9" s="1">
        <f>Reagents!$D$7</f>
        <v>0</v>
      </c>
      <c r="W9" s="1">
        <f>Reagents!$J$7</f>
        <v>0</v>
      </c>
      <c r="X9" s="1">
        <f>Reagents!$D$8</f>
        <v>0</v>
      </c>
      <c r="Y9" s="1">
        <f>Reagents!$J$8</f>
        <v>0</v>
      </c>
      <c r="Z9" s="1">
        <f>Reagents!$D$9</f>
        <v>0</v>
      </c>
      <c r="AA9" s="1">
        <f>Reagents!$J$9</f>
        <v>0</v>
      </c>
      <c r="AB9" s="1">
        <f>Reagents!$D$10</f>
        <v>0</v>
      </c>
      <c r="AC9" s="1">
        <f>Reagents!$J$10</f>
        <v>0</v>
      </c>
      <c r="AD9" s="1">
        <f>Reagents!$D$11</f>
        <v>0</v>
      </c>
      <c r="AE9" s="1">
        <f>Reagents!$J$11</f>
        <v>0</v>
      </c>
      <c r="AF9" t="str">
        <f>Reagents!$C$19</f>
        <v>-</v>
      </c>
      <c r="AG9">
        <f>Reagents!$D$19</f>
        <v>0</v>
      </c>
      <c r="AH9">
        <f>Reagents!$J$19</f>
        <v>0</v>
      </c>
      <c r="AI9" t="str">
        <f>Reagents!$C$31</f>
        <v>-</v>
      </c>
      <c r="AJ9">
        <f>Reagents!$D$31</f>
        <v>0</v>
      </c>
      <c r="AK9">
        <f>Reagents!$J$31</f>
        <v>0</v>
      </c>
      <c r="AL9" t="str">
        <f>Reagents!$C$36</f>
        <v>-</v>
      </c>
      <c r="AM9">
        <f>Reagents!$D$36</f>
        <v>0</v>
      </c>
      <c r="AN9">
        <f>Reagents!$J$36</f>
        <v>0</v>
      </c>
      <c r="AO9" t="str">
        <f>Reagents!$C$44</f>
        <v>-</v>
      </c>
      <c r="AP9">
        <f>Reagents!$D$44</f>
        <v>0</v>
      </c>
      <c r="AQ9">
        <f>Reagents!$J$44</f>
        <v>0</v>
      </c>
      <c r="AR9">
        <f>'Plate Planning'!$K$18</f>
        <v>0</v>
      </c>
      <c r="AS9">
        <f>'Plate Planning'!$L$18</f>
        <v>0</v>
      </c>
      <c r="AT9">
        <f>'Uncorrected Area Counts'!G11</f>
        <v>0</v>
      </c>
      <c r="AU9" t="e">
        <f>Yields!E11</f>
        <v>#DIV/0!</v>
      </c>
      <c r="AV9">
        <f>'Plate Planning'!$K$19</f>
        <v>0</v>
      </c>
      <c r="AW9">
        <f>'Plate Planning'!$L$19</f>
        <v>0</v>
      </c>
      <c r="AX9">
        <f>'Uncorrected Area Counts'!H11</f>
        <v>0</v>
      </c>
      <c r="AY9" t="e">
        <f>Yields!F11</f>
        <v>#DIV/0!</v>
      </c>
      <c r="AZ9">
        <f>'Plate Planning'!$K$20</f>
        <v>0</v>
      </c>
      <c r="BA9">
        <f>'Plate Planning'!$L$20</f>
        <v>0</v>
      </c>
      <c r="BB9">
        <f>'Uncorrected Area Counts'!I11</f>
        <v>0</v>
      </c>
      <c r="BC9" t="e">
        <f>Yields!G11</f>
        <v>#DIV/0!</v>
      </c>
      <c r="BD9">
        <f>'Plate Planning'!$K$21</f>
        <v>0</v>
      </c>
      <c r="BE9">
        <f>'Plate Planning'!$L$21</f>
        <v>0</v>
      </c>
      <c r="BF9">
        <f>'Uncorrected Area Counts'!J11</f>
        <v>0</v>
      </c>
      <c r="BG9" t="e">
        <f>Yields!H11</f>
        <v>#DIV/0!</v>
      </c>
      <c r="BH9">
        <f>'Plate Planning'!$K$22</f>
        <v>0</v>
      </c>
      <c r="BI9">
        <f>'Plate Planning'!$L$22</f>
        <v>0</v>
      </c>
      <c r="BJ9">
        <f>'Uncorrected Area Counts'!K11</f>
        <v>0</v>
      </c>
      <c r="BK9" t="e">
        <f>Yields!I11</f>
        <v>#DIV/0!</v>
      </c>
      <c r="BL9">
        <f>'Plate Planning'!$K$23</f>
        <v>0</v>
      </c>
      <c r="BM9">
        <f>'Plate Planning'!$L$23</f>
        <v>0</v>
      </c>
      <c r="BN9">
        <f>'Uncorrected Area Counts'!L11</f>
        <v>0</v>
      </c>
      <c r="BO9" t="e">
        <f>Yields!J11</f>
        <v>#DIV/0!</v>
      </c>
      <c r="BP9">
        <f>'Plate Planning'!$K$24</f>
        <v>0</v>
      </c>
      <c r="BQ9">
        <f>'Plate Planning'!$L$24</f>
        <v>0</v>
      </c>
      <c r="BR9">
        <f>'Uncorrected Area Counts'!M11</f>
        <v>0</v>
      </c>
      <c r="BS9" t="e">
        <f>Yields!K11</f>
        <v>#DIV/0!</v>
      </c>
      <c r="BT9">
        <f>'Plate Planning'!$L$17</f>
        <v>0</v>
      </c>
      <c r="BU9">
        <f>'Plate Planning'!$M$17</f>
        <v>0</v>
      </c>
      <c r="BV9">
        <f>'Uncorrected Area Counts'!F11</f>
        <v>0</v>
      </c>
    </row>
    <row r="10" spans="1:77">
      <c r="A10" s="1">
        <v>9</v>
      </c>
      <c r="B10" s="1">
        <v>9</v>
      </c>
      <c r="C10" s="1">
        <v>1</v>
      </c>
      <c r="D10" s="1">
        <f>'Plate Planning'!$H$16</f>
        <v>0</v>
      </c>
      <c r="E10" s="1" t="str">
        <f>'Plate Planning'!$H$17</f>
        <v>LC-MS</v>
      </c>
      <c r="F10" s="1">
        <f>'Plate Planning'!$H$18</f>
        <v>500</v>
      </c>
      <c r="G10" s="1">
        <f>'Plate Planning'!$H$20</f>
        <v>25</v>
      </c>
      <c r="H10" s="1">
        <f>'Plate Planning'!$H$19</f>
        <v>24</v>
      </c>
      <c r="I10" s="1" t="b">
        <f>'Plate Planning'!$H$21</f>
        <v>1</v>
      </c>
      <c r="J10" s="1" t="str">
        <f>IF('Plate Planning'!$H$22=0, "NA",'Plate Planning'!$H$22)</f>
        <v>NA</v>
      </c>
      <c r="K10" s="1">
        <f>Reagents!$D$2</f>
        <v>0</v>
      </c>
      <c r="L10" s="1">
        <f>Reagents!$D$2</f>
        <v>0</v>
      </c>
      <c r="M10" s="1">
        <f>Reagents!$J$2</f>
        <v>0</v>
      </c>
      <c r="N10" s="1">
        <f>Reagents!$D$3</f>
        <v>0</v>
      </c>
      <c r="O10" s="1">
        <f>Reagents!$J$3</f>
        <v>0</v>
      </c>
      <c r="P10" s="1">
        <f>Reagents!$D$4</f>
        <v>0</v>
      </c>
      <c r="Q10" s="1">
        <f>Reagents!$J$4</f>
        <v>0</v>
      </c>
      <c r="R10" s="1">
        <f>Reagents!$D$5</f>
        <v>0</v>
      </c>
      <c r="S10" s="1">
        <f>Reagents!$J$5</f>
        <v>0</v>
      </c>
      <c r="T10" s="1">
        <f>Reagents!$D$6</f>
        <v>0</v>
      </c>
      <c r="U10" s="1">
        <f>Reagents!$J$6</f>
        <v>0</v>
      </c>
      <c r="V10" s="1">
        <f>Reagents!$D$7</f>
        <v>0</v>
      </c>
      <c r="W10" s="1">
        <f>Reagents!$J$7</f>
        <v>0</v>
      </c>
      <c r="X10" s="1">
        <f>Reagents!$D$8</f>
        <v>0</v>
      </c>
      <c r="Y10" s="1">
        <f>Reagents!$J$8</f>
        <v>0</v>
      </c>
      <c r="Z10" s="1">
        <f>Reagents!$D$9</f>
        <v>0</v>
      </c>
      <c r="AA10" s="1">
        <f>Reagents!$J$9</f>
        <v>0</v>
      </c>
      <c r="AB10" s="1">
        <f>Reagents!$D$10</f>
        <v>0</v>
      </c>
      <c r="AC10" s="1">
        <f>Reagents!$J$10</f>
        <v>0</v>
      </c>
      <c r="AD10" s="1">
        <f>Reagents!$D$11</f>
        <v>0</v>
      </c>
      <c r="AE10" s="1">
        <f>Reagents!$J$11</f>
        <v>0</v>
      </c>
      <c r="AF10" t="str">
        <f>Reagents!$C$20</f>
        <v>-</v>
      </c>
      <c r="AG10">
        <f>Reagents!$D$20</f>
        <v>0</v>
      </c>
      <c r="AH10">
        <f>Reagents!$J$20</f>
        <v>0</v>
      </c>
      <c r="AI10" t="str">
        <f>Reagents!$C$32</f>
        <v>-</v>
      </c>
      <c r="AJ10">
        <f>Reagents!$D$32</f>
        <v>0</v>
      </c>
      <c r="AK10">
        <f>Reagents!$J$32</f>
        <v>0</v>
      </c>
      <c r="AL10" t="str">
        <f>Reagents!$C$36</f>
        <v>-</v>
      </c>
      <c r="AM10">
        <f>Reagents!$D$36</f>
        <v>0</v>
      </c>
      <c r="AN10">
        <f>Reagents!$J$36</f>
        <v>0</v>
      </c>
      <c r="AO10" t="str">
        <f>Reagents!$C$44</f>
        <v>-</v>
      </c>
      <c r="AP10">
        <f>Reagents!$D$44</f>
        <v>0</v>
      </c>
      <c r="AQ10">
        <f>Reagents!$J$44</f>
        <v>0</v>
      </c>
      <c r="AR10">
        <f>'Plate Planning'!$K$18</f>
        <v>0</v>
      </c>
      <c r="AS10">
        <f>'Plate Planning'!$L$18</f>
        <v>0</v>
      </c>
      <c r="AT10">
        <f>'Uncorrected Area Counts'!G12</f>
        <v>0</v>
      </c>
      <c r="AU10" t="e">
        <f>Yields!E12</f>
        <v>#DIV/0!</v>
      </c>
      <c r="AV10">
        <f>'Plate Planning'!$K$19</f>
        <v>0</v>
      </c>
      <c r="AW10">
        <f>'Plate Planning'!$L$19</f>
        <v>0</v>
      </c>
      <c r="AX10">
        <f>'Uncorrected Area Counts'!H12</f>
        <v>0</v>
      </c>
      <c r="AY10" t="e">
        <f>Yields!F12</f>
        <v>#DIV/0!</v>
      </c>
      <c r="AZ10">
        <f>'Plate Planning'!$K$20</f>
        <v>0</v>
      </c>
      <c r="BA10">
        <f>'Plate Planning'!$L$20</f>
        <v>0</v>
      </c>
      <c r="BB10">
        <f>'Uncorrected Area Counts'!I12</f>
        <v>0</v>
      </c>
      <c r="BC10" t="e">
        <f>Yields!G12</f>
        <v>#DIV/0!</v>
      </c>
      <c r="BD10">
        <f>'Plate Planning'!$K$21</f>
        <v>0</v>
      </c>
      <c r="BE10">
        <f>'Plate Planning'!$L$21</f>
        <v>0</v>
      </c>
      <c r="BF10">
        <f>'Uncorrected Area Counts'!J12</f>
        <v>0</v>
      </c>
      <c r="BG10" t="e">
        <f>Yields!H12</f>
        <v>#DIV/0!</v>
      </c>
      <c r="BH10">
        <f>'Plate Planning'!$K$22</f>
        <v>0</v>
      </c>
      <c r="BI10">
        <f>'Plate Planning'!$L$22</f>
        <v>0</v>
      </c>
      <c r="BJ10">
        <f>'Uncorrected Area Counts'!K12</f>
        <v>0</v>
      </c>
      <c r="BK10" t="e">
        <f>Yields!I12</f>
        <v>#DIV/0!</v>
      </c>
      <c r="BL10">
        <f>'Plate Planning'!$K$23</f>
        <v>0</v>
      </c>
      <c r="BM10">
        <f>'Plate Planning'!$L$23</f>
        <v>0</v>
      </c>
      <c r="BN10">
        <f>'Uncorrected Area Counts'!L12</f>
        <v>0</v>
      </c>
      <c r="BO10" t="e">
        <f>Yields!J12</f>
        <v>#DIV/0!</v>
      </c>
      <c r="BP10">
        <f>'Plate Planning'!$K$24</f>
        <v>0</v>
      </c>
      <c r="BQ10">
        <f>'Plate Planning'!$L$24</f>
        <v>0</v>
      </c>
      <c r="BR10">
        <f>'Uncorrected Area Counts'!M12</f>
        <v>0</v>
      </c>
      <c r="BS10" t="e">
        <f>Yields!K12</f>
        <v>#DIV/0!</v>
      </c>
      <c r="BT10">
        <f>'Plate Planning'!$L$17</f>
        <v>0</v>
      </c>
      <c r="BU10">
        <f>'Plate Planning'!$M$17</f>
        <v>0</v>
      </c>
      <c r="BV10">
        <f>'Uncorrected Area Counts'!F12</f>
        <v>0</v>
      </c>
    </row>
    <row r="11" spans="1:77">
      <c r="A11" s="1">
        <v>10</v>
      </c>
      <c r="B11" s="1">
        <v>10</v>
      </c>
      <c r="C11" s="1">
        <v>1</v>
      </c>
      <c r="D11" s="1">
        <f>'Plate Planning'!$H$16</f>
        <v>0</v>
      </c>
      <c r="E11" s="1" t="str">
        <f>'Plate Planning'!$H$17</f>
        <v>LC-MS</v>
      </c>
      <c r="F11" s="1">
        <f>'Plate Planning'!$H$18</f>
        <v>500</v>
      </c>
      <c r="G11" s="1">
        <f>'Plate Planning'!$H$20</f>
        <v>25</v>
      </c>
      <c r="H11" s="1">
        <f>'Plate Planning'!$H$19</f>
        <v>24</v>
      </c>
      <c r="I11" s="1" t="b">
        <f>'Plate Planning'!$H$21</f>
        <v>1</v>
      </c>
      <c r="J11" s="1" t="str">
        <f>IF('Plate Planning'!$H$22=0, "NA",'Plate Planning'!$H$22)</f>
        <v>NA</v>
      </c>
      <c r="K11" s="1">
        <f>Reagents!$D$2</f>
        <v>0</v>
      </c>
      <c r="L11" s="1">
        <f>Reagents!$D$2</f>
        <v>0</v>
      </c>
      <c r="M11" s="1">
        <f>Reagents!$J$2</f>
        <v>0</v>
      </c>
      <c r="N11" s="1">
        <f>Reagents!$D$3</f>
        <v>0</v>
      </c>
      <c r="O11" s="1">
        <f>Reagents!$J$3</f>
        <v>0</v>
      </c>
      <c r="P11" s="1">
        <f>Reagents!$D$4</f>
        <v>0</v>
      </c>
      <c r="Q11" s="1">
        <f>Reagents!$J$4</f>
        <v>0</v>
      </c>
      <c r="R11" s="1">
        <f>Reagents!$D$5</f>
        <v>0</v>
      </c>
      <c r="S11" s="1">
        <f>Reagents!$J$5</f>
        <v>0</v>
      </c>
      <c r="T11" s="1">
        <f>Reagents!$D$6</f>
        <v>0</v>
      </c>
      <c r="U11" s="1">
        <f>Reagents!$J$6</f>
        <v>0</v>
      </c>
      <c r="V11" s="1">
        <f>Reagents!$D$7</f>
        <v>0</v>
      </c>
      <c r="W11" s="1">
        <f>Reagents!$J$7</f>
        <v>0</v>
      </c>
      <c r="X11" s="1">
        <f>Reagents!$D$8</f>
        <v>0</v>
      </c>
      <c r="Y11" s="1">
        <f>Reagents!$J$8</f>
        <v>0</v>
      </c>
      <c r="Z11" s="1">
        <f>Reagents!$D$9</f>
        <v>0</v>
      </c>
      <c r="AA11" s="1">
        <f>Reagents!$J$9</f>
        <v>0</v>
      </c>
      <c r="AB11" s="1">
        <f>Reagents!$D$10</f>
        <v>0</v>
      </c>
      <c r="AC11" s="1">
        <f>Reagents!$J$10</f>
        <v>0</v>
      </c>
      <c r="AD11" s="1">
        <f>Reagents!$D$11</f>
        <v>0</v>
      </c>
      <c r="AE11" s="1">
        <f>Reagents!$J$11</f>
        <v>0</v>
      </c>
      <c r="AF11" t="str">
        <f>Reagents!$C$21</f>
        <v>-</v>
      </c>
      <c r="AG11">
        <f>Reagents!$D$21</f>
        <v>0</v>
      </c>
      <c r="AH11">
        <f>Reagents!$J$21</f>
        <v>0</v>
      </c>
      <c r="AI11" t="str">
        <f>Reagents!$C$33</f>
        <v>-</v>
      </c>
      <c r="AJ11">
        <f>Reagents!$D$33</f>
        <v>0</v>
      </c>
      <c r="AK11">
        <f>Reagents!$J$33</f>
        <v>0</v>
      </c>
      <c r="AL11" t="str">
        <f>Reagents!$C$36</f>
        <v>-</v>
      </c>
      <c r="AM11">
        <f>Reagents!$D$36</f>
        <v>0</v>
      </c>
      <c r="AN11">
        <f>Reagents!$J$36</f>
        <v>0</v>
      </c>
      <c r="AO11" t="str">
        <f>Reagents!$C$44</f>
        <v>-</v>
      </c>
      <c r="AP11">
        <f>Reagents!$D$44</f>
        <v>0</v>
      </c>
      <c r="AQ11">
        <f>Reagents!$J$44</f>
        <v>0</v>
      </c>
      <c r="AR11">
        <f>'Plate Planning'!$K$18</f>
        <v>0</v>
      </c>
      <c r="AS11">
        <f>'Plate Planning'!$L$18</f>
        <v>0</v>
      </c>
      <c r="AT11">
        <f>'Uncorrected Area Counts'!G13</f>
        <v>0</v>
      </c>
      <c r="AU11" t="e">
        <f>Yields!E13</f>
        <v>#DIV/0!</v>
      </c>
      <c r="AV11">
        <f>'Plate Planning'!$K$19</f>
        <v>0</v>
      </c>
      <c r="AW11">
        <f>'Plate Planning'!$L$19</f>
        <v>0</v>
      </c>
      <c r="AX11">
        <f>'Uncorrected Area Counts'!H13</f>
        <v>0</v>
      </c>
      <c r="AY11" t="e">
        <f>Yields!F13</f>
        <v>#DIV/0!</v>
      </c>
      <c r="AZ11">
        <f>'Plate Planning'!$K$20</f>
        <v>0</v>
      </c>
      <c r="BA11">
        <f>'Plate Planning'!$L$20</f>
        <v>0</v>
      </c>
      <c r="BB11">
        <f>'Uncorrected Area Counts'!I13</f>
        <v>0</v>
      </c>
      <c r="BC11" t="e">
        <f>Yields!G13</f>
        <v>#DIV/0!</v>
      </c>
      <c r="BD11">
        <f>'Plate Planning'!$K$21</f>
        <v>0</v>
      </c>
      <c r="BE11">
        <f>'Plate Planning'!$L$21</f>
        <v>0</v>
      </c>
      <c r="BF11">
        <f>'Uncorrected Area Counts'!J13</f>
        <v>0</v>
      </c>
      <c r="BG11" t="e">
        <f>Yields!H13</f>
        <v>#DIV/0!</v>
      </c>
      <c r="BH11">
        <f>'Plate Planning'!$K$22</f>
        <v>0</v>
      </c>
      <c r="BI11">
        <f>'Plate Planning'!$L$22</f>
        <v>0</v>
      </c>
      <c r="BJ11">
        <f>'Uncorrected Area Counts'!K13</f>
        <v>0</v>
      </c>
      <c r="BK11" t="e">
        <f>Yields!I13</f>
        <v>#DIV/0!</v>
      </c>
      <c r="BL11">
        <f>'Plate Planning'!$K$23</f>
        <v>0</v>
      </c>
      <c r="BM11">
        <f>'Plate Planning'!$L$23</f>
        <v>0</v>
      </c>
      <c r="BN11">
        <f>'Uncorrected Area Counts'!L13</f>
        <v>0</v>
      </c>
      <c r="BO11" t="e">
        <f>Yields!J13</f>
        <v>#DIV/0!</v>
      </c>
      <c r="BP11">
        <f>'Plate Planning'!$K$24</f>
        <v>0</v>
      </c>
      <c r="BQ11">
        <f>'Plate Planning'!$L$24</f>
        <v>0</v>
      </c>
      <c r="BR11">
        <f>'Uncorrected Area Counts'!M13</f>
        <v>0</v>
      </c>
      <c r="BS11" t="e">
        <f>Yields!K13</f>
        <v>#DIV/0!</v>
      </c>
      <c r="BT11">
        <f>'Plate Planning'!$L$17</f>
        <v>0</v>
      </c>
      <c r="BU11">
        <f>'Plate Planning'!$M$17</f>
        <v>0</v>
      </c>
      <c r="BV11">
        <f>'Uncorrected Area Counts'!F13</f>
        <v>0</v>
      </c>
    </row>
    <row r="12" spans="1:77">
      <c r="A12" s="1">
        <v>11</v>
      </c>
      <c r="B12" s="1">
        <v>11</v>
      </c>
      <c r="C12" s="1">
        <v>1</v>
      </c>
      <c r="D12" s="1">
        <f>'Plate Planning'!$H$16</f>
        <v>0</v>
      </c>
      <c r="E12" s="1" t="str">
        <f>'Plate Planning'!$H$17</f>
        <v>LC-MS</v>
      </c>
      <c r="F12" s="1">
        <f>'Plate Planning'!$H$18</f>
        <v>500</v>
      </c>
      <c r="G12" s="1">
        <f>'Plate Planning'!$H$20</f>
        <v>25</v>
      </c>
      <c r="H12" s="1">
        <f>'Plate Planning'!$H$19</f>
        <v>24</v>
      </c>
      <c r="I12" s="1" t="b">
        <f>'Plate Planning'!$H$21</f>
        <v>1</v>
      </c>
      <c r="J12" s="1" t="str">
        <f>IF('Plate Planning'!$H$22=0, "NA",'Plate Planning'!$H$22)</f>
        <v>NA</v>
      </c>
      <c r="K12" s="1">
        <f>Reagents!$D$2</f>
        <v>0</v>
      </c>
      <c r="L12" s="1">
        <f>Reagents!$D$2</f>
        <v>0</v>
      </c>
      <c r="M12" s="1">
        <f>Reagents!$J$2</f>
        <v>0</v>
      </c>
      <c r="N12" s="1">
        <f>Reagents!$D$3</f>
        <v>0</v>
      </c>
      <c r="O12" s="1">
        <f>Reagents!$J$3</f>
        <v>0</v>
      </c>
      <c r="P12" s="1">
        <f>Reagents!$D$4</f>
        <v>0</v>
      </c>
      <c r="Q12" s="1">
        <f>Reagents!$J$4</f>
        <v>0</v>
      </c>
      <c r="R12" s="1">
        <f>Reagents!$D$5</f>
        <v>0</v>
      </c>
      <c r="S12" s="1">
        <f>Reagents!$J$5</f>
        <v>0</v>
      </c>
      <c r="T12" s="1">
        <f>Reagents!$D$6</f>
        <v>0</v>
      </c>
      <c r="U12" s="1">
        <f>Reagents!$J$6</f>
        <v>0</v>
      </c>
      <c r="V12" s="1">
        <f>Reagents!$D$7</f>
        <v>0</v>
      </c>
      <c r="W12" s="1">
        <f>Reagents!$J$7</f>
        <v>0</v>
      </c>
      <c r="X12" s="1">
        <f>Reagents!$D$8</f>
        <v>0</v>
      </c>
      <c r="Y12" s="1">
        <f>Reagents!$J$8</f>
        <v>0</v>
      </c>
      <c r="Z12" s="1">
        <f>Reagents!$D$9</f>
        <v>0</v>
      </c>
      <c r="AA12" s="1">
        <f>Reagents!$J$9</f>
        <v>0</v>
      </c>
      <c r="AB12" s="1">
        <f>Reagents!$D$10</f>
        <v>0</v>
      </c>
      <c r="AC12" s="1">
        <f>Reagents!$J$10</f>
        <v>0</v>
      </c>
      <c r="AD12" s="1">
        <f>Reagents!$D$11</f>
        <v>0</v>
      </c>
      <c r="AE12" s="1">
        <f>Reagents!$J$11</f>
        <v>0</v>
      </c>
      <c r="AF12" t="str">
        <f>Reagents!$C$22</f>
        <v>-</v>
      </c>
      <c r="AG12">
        <f>Reagents!$D$22</f>
        <v>0</v>
      </c>
      <c r="AH12">
        <f>Reagents!$J$22</f>
        <v>0</v>
      </c>
      <c r="AI12" t="str">
        <f>Reagents!$C$34</f>
        <v>-</v>
      </c>
      <c r="AJ12">
        <f>Reagents!$D$34</f>
        <v>0</v>
      </c>
      <c r="AK12">
        <f>Reagents!$J$34</f>
        <v>0</v>
      </c>
      <c r="AL12" t="str">
        <f>Reagents!$C$36</f>
        <v>-</v>
      </c>
      <c r="AM12">
        <f>Reagents!$D$36</f>
        <v>0</v>
      </c>
      <c r="AN12">
        <f>Reagents!$J$36</f>
        <v>0</v>
      </c>
      <c r="AO12" t="str">
        <f>Reagents!$C$44</f>
        <v>-</v>
      </c>
      <c r="AP12">
        <f>Reagents!$D$44</f>
        <v>0</v>
      </c>
      <c r="AQ12">
        <f>Reagents!$J$44</f>
        <v>0</v>
      </c>
      <c r="AR12">
        <f>'Plate Planning'!$K$18</f>
        <v>0</v>
      </c>
      <c r="AS12">
        <f>'Plate Planning'!$L$18</f>
        <v>0</v>
      </c>
      <c r="AT12">
        <f>'Uncorrected Area Counts'!G14</f>
        <v>0</v>
      </c>
      <c r="AU12" t="e">
        <f>Yields!E14</f>
        <v>#DIV/0!</v>
      </c>
      <c r="AV12">
        <f>'Plate Planning'!$K$19</f>
        <v>0</v>
      </c>
      <c r="AW12">
        <f>'Plate Planning'!$L$19</f>
        <v>0</v>
      </c>
      <c r="AX12">
        <f>'Uncorrected Area Counts'!H14</f>
        <v>0</v>
      </c>
      <c r="AY12" t="e">
        <f>Yields!F14</f>
        <v>#DIV/0!</v>
      </c>
      <c r="AZ12">
        <f>'Plate Planning'!$K$20</f>
        <v>0</v>
      </c>
      <c r="BA12">
        <f>'Plate Planning'!$L$20</f>
        <v>0</v>
      </c>
      <c r="BB12">
        <f>'Uncorrected Area Counts'!I14</f>
        <v>0</v>
      </c>
      <c r="BC12" t="e">
        <f>Yields!G14</f>
        <v>#DIV/0!</v>
      </c>
      <c r="BD12">
        <f>'Plate Planning'!$K$21</f>
        <v>0</v>
      </c>
      <c r="BE12">
        <f>'Plate Planning'!$L$21</f>
        <v>0</v>
      </c>
      <c r="BF12">
        <f>'Uncorrected Area Counts'!J14</f>
        <v>0</v>
      </c>
      <c r="BG12" t="e">
        <f>Yields!H14</f>
        <v>#DIV/0!</v>
      </c>
      <c r="BH12">
        <f>'Plate Planning'!$K$22</f>
        <v>0</v>
      </c>
      <c r="BI12">
        <f>'Plate Planning'!$L$22</f>
        <v>0</v>
      </c>
      <c r="BJ12">
        <f>'Uncorrected Area Counts'!K14</f>
        <v>0</v>
      </c>
      <c r="BK12" t="e">
        <f>Yields!I14</f>
        <v>#DIV/0!</v>
      </c>
      <c r="BL12">
        <f>'Plate Planning'!$K$23</f>
        <v>0</v>
      </c>
      <c r="BM12">
        <f>'Plate Planning'!$L$23</f>
        <v>0</v>
      </c>
      <c r="BN12">
        <f>'Uncorrected Area Counts'!L14</f>
        <v>0</v>
      </c>
      <c r="BO12" t="e">
        <f>Yields!J14</f>
        <v>#DIV/0!</v>
      </c>
      <c r="BP12">
        <f>'Plate Planning'!$K$24</f>
        <v>0</v>
      </c>
      <c r="BQ12">
        <f>'Plate Planning'!$L$24</f>
        <v>0</v>
      </c>
      <c r="BR12">
        <f>'Uncorrected Area Counts'!M14</f>
        <v>0</v>
      </c>
      <c r="BS12" t="e">
        <f>Yields!K14</f>
        <v>#DIV/0!</v>
      </c>
      <c r="BT12">
        <f>'Plate Planning'!$L$17</f>
        <v>0</v>
      </c>
      <c r="BU12">
        <f>'Plate Planning'!$M$17</f>
        <v>0</v>
      </c>
      <c r="BV12">
        <f>'Uncorrected Area Counts'!F14</f>
        <v>0</v>
      </c>
    </row>
    <row r="13" spans="1:77">
      <c r="A13" s="1">
        <v>12</v>
      </c>
      <c r="B13" s="1">
        <v>12</v>
      </c>
      <c r="C13" s="1">
        <v>1</v>
      </c>
      <c r="D13" s="1">
        <f>'Plate Planning'!$H$16</f>
        <v>0</v>
      </c>
      <c r="E13" s="1" t="str">
        <f>'Plate Planning'!$H$17</f>
        <v>LC-MS</v>
      </c>
      <c r="F13" s="1">
        <f>'Plate Planning'!$H$18</f>
        <v>500</v>
      </c>
      <c r="G13" s="1">
        <f>'Plate Planning'!$H$20</f>
        <v>25</v>
      </c>
      <c r="H13" s="1">
        <f>'Plate Planning'!$H$19</f>
        <v>24</v>
      </c>
      <c r="I13" s="1" t="b">
        <f>'Plate Planning'!$H$21</f>
        <v>1</v>
      </c>
      <c r="J13" s="1" t="str">
        <f>IF('Plate Planning'!$H$22=0, "NA",'Plate Planning'!$H$22)</f>
        <v>NA</v>
      </c>
      <c r="K13" s="1">
        <f>Reagents!$D$2</f>
        <v>0</v>
      </c>
      <c r="L13" s="1">
        <f>Reagents!$D$2</f>
        <v>0</v>
      </c>
      <c r="M13" s="1">
        <f>Reagents!$J$2</f>
        <v>0</v>
      </c>
      <c r="N13" s="1">
        <f>Reagents!$D$3</f>
        <v>0</v>
      </c>
      <c r="O13" s="1">
        <f>Reagents!$J$3</f>
        <v>0</v>
      </c>
      <c r="P13" s="1">
        <f>Reagents!$D$4</f>
        <v>0</v>
      </c>
      <c r="Q13" s="1">
        <f>Reagents!$J$4</f>
        <v>0</v>
      </c>
      <c r="R13" s="1">
        <f>Reagents!$D$5</f>
        <v>0</v>
      </c>
      <c r="S13" s="1">
        <f>Reagents!$J$5</f>
        <v>0</v>
      </c>
      <c r="T13" s="1">
        <f>Reagents!$D$6</f>
        <v>0</v>
      </c>
      <c r="U13" s="1">
        <f>Reagents!$J$6</f>
        <v>0</v>
      </c>
      <c r="V13" s="1">
        <f>Reagents!$D$7</f>
        <v>0</v>
      </c>
      <c r="W13" s="1">
        <f>Reagents!$J$7</f>
        <v>0</v>
      </c>
      <c r="X13" s="1">
        <f>Reagents!$D$8</f>
        <v>0</v>
      </c>
      <c r="Y13" s="1">
        <f>Reagents!$J$8</f>
        <v>0</v>
      </c>
      <c r="Z13" s="1">
        <f>Reagents!$D$9</f>
        <v>0</v>
      </c>
      <c r="AA13" s="1">
        <f>Reagents!$J$9</f>
        <v>0</v>
      </c>
      <c r="AB13" s="1">
        <f>Reagents!$D$10</f>
        <v>0</v>
      </c>
      <c r="AC13" s="1">
        <f>Reagents!$J$10</f>
        <v>0</v>
      </c>
      <c r="AD13" s="1">
        <f>Reagents!$D$11</f>
        <v>0</v>
      </c>
      <c r="AE13" s="1">
        <f>Reagents!$J$11</f>
        <v>0</v>
      </c>
      <c r="AF13" t="str">
        <f>Reagents!$C$23</f>
        <v>-</v>
      </c>
      <c r="AG13">
        <f>Reagents!$D$23</f>
        <v>0</v>
      </c>
      <c r="AH13">
        <f>Reagents!$J$23</f>
        <v>0</v>
      </c>
      <c r="AI13" t="str">
        <f>Reagents!$C$35</f>
        <v>-</v>
      </c>
      <c r="AJ13">
        <f>Reagents!$D$35</f>
        <v>0</v>
      </c>
      <c r="AK13">
        <f>Reagents!$J$35</f>
        <v>0</v>
      </c>
      <c r="AL13" t="str">
        <f>Reagents!$C$36</f>
        <v>-</v>
      </c>
      <c r="AM13">
        <f>Reagents!$D$36</f>
        <v>0</v>
      </c>
      <c r="AN13">
        <f>Reagents!$J$36</f>
        <v>0</v>
      </c>
      <c r="AO13" t="str">
        <f>Reagents!$C$44</f>
        <v>-</v>
      </c>
      <c r="AP13">
        <f>Reagents!$D$44</f>
        <v>0</v>
      </c>
      <c r="AQ13">
        <f>Reagents!$J$44</f>
        <v>0</v>
      </c>
      <c r="AR13">
        <f>'Plate Planning'!$K$18</f>
        <v>0</v>
      </c>
      <c r="AS13">
        <f>'Plate Planning'!$L$18</f>
        <v>0</v>
      </c>
      <c r="AT13">
        <f>'Uncorrected Area Counts'!G15</f>
        <v>0</v>
      </c>
      <c r="AU13" t="e">
        <f>Yields!E15</f>
        <v>#DIV/0!</v>
      </c>
      <c r="AV13">
        <f>'Plate Planning'!$K$19</f>
        <v>0</v>
      </c>
      <c r="AW13">
        <f>'Plate Planning'!$L$19</f>
        <v>0</v>
      </c>
      <c r="AX13">
        <f>'Uncorrected Area Counts'!H15</f>
        <v>0</v>
      </c>
      <c r="AY13" t="e">
        <f>Yields!F15</f>
        <v>#DIV/0!</v>
      </c>
      <c r="AZ13">
        <f>'Plate Planning'!$K$20</f>
        <v>0</v>
      </c>
      <c r="BA13">
        <f>'Plate Planning'!$L$20</f>
        <v>0</v>
      </c>
      <c r="BB13">
        <f>'Uncorrected Area Counts'!I15</f>
        <v>0</v>
      </c>
      <c r="BC13" t="e">
        <f>Yields!G15</f>
        <v>#DIV/0!</v>
      </c>
      <c r="BD13">
        <f>'Plate Planning'!$K$21</f>
        <v>0</v>
      </c>
      <c r="BE13">
        <f>'Plate Planning'!$L$21</f>
        <v>0</v>
      </c>
      <c r="BF13">
        <f>'Uncorrected Area Counts'!J15</f>
        <v>0</v>
      </c>
      <c r="BG13" t="e">
        <f>Yields!H15</f>
        <v>#DIV/0!</v>
      </c>
      <c r="BH13">
        <f>'Plate Planning'!$K$22</f>
        <v>0</v>
      </c>
      <c r="BI13">
        <f>'Plate Planning'!$L$22</f>
        <v>0</v>
      </c>
      <c r="BJ13">
        <f>'Uncorrected Area Counts'!K15</f>
        <v>0</v>
      </c>
      <c r="BK13" t="e">
        <f>Yields!I15</f>
        <v>#DIV/0!</v>
      </c>
      <c r="BL13">
        <f>'Plate Planning'!$K$23</f>
        <v>0</v>
      </c>
      <c r="BM13">
        <f>'Plate Planning'!$L$23</f>
        <v>0</v>
      </c>
      <c r="BN13">
        <f>'Uncorrected Area Counts'!L15</f>
        <v>0</v>
      </c>
      <c r="BO13" t="e">
        <f>Yields!J15</f>
        <v>#DIV/0!</v>
      </c>
      <c r="BP13">
        <f>'Plate Planning'!$K$24</f>
        <v>0</v>
      </c>
      <c r="BQ13">
        <f>'Plate Planning'!$L$24</f>
        <v>0</v>
      </c>
      <c r="BR13">
        <f>'Uncorrected Area Counts'!M15</f>
        <v>0</v>
      </c>
      <c r="BS13" t="e">
        <f>Yields!K15</f>
        <v>#DIV/0!</v>
      </c>
      <c r="BT13">
        <f>'Plate Planning'!$L$17</f>
        <v>0</v>
      </c>
      <c r="BU13">
        <f>'Plate Planning'!$M$17</f>
        <v>0</v>
      </c>
      <c r="BV13">
        <f>'Uncorrected Area Counts'!F15</f>
        <v>0</v>
      </c>
    </row>
    <row r="14" spans="1:77">
      <c r="A14" s="1">
        <v>13</v>
      </c>
      <c r="B14" s="1">
        <v>1</v>
      </c>
      <c r="C14" s="1">
        <v>2</v>
      </c>
      <c r="D14" s="1">
        <f>'Plate Planning'!$H$16</f>
        <v>0</v>
      </c>
      <c r="E14" s="1" t="str">
        <f>'Plate Planning'!$H$17</f>
        <v>LC-MS</v>
      </c>
      <c r="F14" s="1">
        <f>'Plate Planning'!$H$18</f>
        <v>500</v>
      </c>
      <c r="G14" s="1">
        <f>'Plate Planning'!$H$20</f>
        <v>25</v>
      </c>
      <c r="H14" s="1">
        <f>'Plate Planning'!$H$19</f>
        <v>24</v>
      </c>
      <c r="I14" s="1" t="b">
        <f>'Plate Planning'!$H$21</f>
        <v>1</v>
      </c>
      <c r="J14" s="1" t="str">
        <f>IF('Plate Planning'!$H$22=0, "NA",'Plate Planning'!$H$22)</f>
        <v>NA</v>
      </c>
      <c r="K14" s="1">
        <f>Reagents!$D$2</f>
        <v>0</v>
      </c>
      <c r="L14" s="1">
        <f>Reagents!$D$2</f>
        <v>0</v>
      </c>
      <c r="M14" s="1">
        <f>Reagents!$J$2</f>
        <v>0</v>
      </c>
      <c r="N14" s="1">
        <f>Reagents!$D$3</f>
        <v>0</v>
      </c>
      <c r="O14" s="1">
        <f>Reagents!$J$3</f>
        <v>0</v>
      </c>
      <c r="P14" s="1">
        <f>Reagents!$D$4</f>
        <v>0</v>
      </c>
      <c r="Q14" s="1">
        <f>Reagents!$J$4</f>
        <v>0</v>
      </c>
      <c r="R14" s="1">
        <f>Reagents!$D$5</f>
        <v>0</v>
      </c>
      <c r="S14" s="1">
        <f>Reagents!$J$5</f>
        <v>0</v>
      </c>
      <c r="T14" s="1">
        <f>Reagents!$D$6</f>
        <v>0</v>
      </c>
      <c r="U14" s="1">
        <f>Reagents!$J$6</f>
        <v>0</v>
      </c>
      <c r="V14" s="1">
        <f>Reagents!$D$7</f>
        <v>0</v>
      </c>
      <c r="W14" s="1">
        <f>Reagents!$J$7</f>
        <v>0</v>
      </c>
      <c r="X14" s="1">
        <f>Reagents!$D$8</f>
        <v>0</v>
      </c>
      <c r="Y14" s="1">
        <f>Reagents!$J$8</f>
        <v>0</v>
      </c>
      <c r="Z14" s="1">
        <f>Reagents!$D$9</f>
        <v>0</v>
      </c>
      <c r="AA14" s="1">
        <f>Reagents!$J$9</f>
        <v>0</v>
      </c>
      <c r="AB14" s="1">
        <f>Reagents!$D$10</f>
        <v>0</v>
      </c>
      <c r="AC14" s="1">
        <f>Reagents!$J$10</f>
        <v>0</v>
      </c>
      <c r="AD14" s="1">
        <f>Reagents!$D$11</f>
        <v>0</v>
      </c>
      <c r="AE14" s="1">
        <f>Reagents!$J$11</f>
        <v>0</v>
      </c>
      <c r="AF14" t="str">
        <f>Reagents!$C$12</f>
        <v>-</v>
      </c>
      <c r="AG14">
        <f>Reagents!$D$12</f>
        <v>0</v>
      </c>
      <c r="AH14">
        <f>Reagents!$J$12</f>
        <v>0</v>
      </c>
      <c r="AI14" t="str">
        <f>Reagents!$C$24</f>
        <v>-</v>
      </c>
      <c r="AJ14">
        <f>Reagents!$D$24</f>
        <v>0</v>
      </c>
      <c r="AK14">
        <f>Reagents!$J$24</f>
        <v>0</v>
      </c>
      <c r="AL14" t="str">
        <f>Reagents!$C$37</f>
        <v>-</v>
      </c>
      <c r="AM14">
        <f>Reagents!$D$37</f>
        <v>0</v>
      </c>
      <c r="AN14">
        <f>Reagents!$J$37</f>
        <v>0</v>
      </c>
      <c r="AO14" t="str">
        <f>Reagents!$C$45</f>
        <v>-</v>
      </c>
      <c r="AP14">
        <f>Reagents!$D$45</f>
        <v>0</v>
      </c>
      <c r="AQ14">
        <f>Reagents!$J$45</f>
        <v>0</v>
      </c>
      <c r="AR14">
        <f>'Plate Planning'!$K$18</f>
        <v>0</v>
      </c>
      <c r="AS14">
        <f>'Plate Planning'!$L$18</f>
        <v>0</v>
      </c>
      <c r="AT14">
        <f>'Uncorrected Area Counts'!G16</f>
        <v>0</v>
      </c>
      <c r="AU14" t="e">
        <f>Yields!E16</f>
        <v>#DIV/0!</v>
      </c>
      <c r="AV14">
        <f>'Plate Planning'!$K$19</f>
        <v>0</v>
      </c>
      <c r="AW14">
        <f>'Plate Planning'!$L$19</f>
        <v>0</v>
      </c>
      <c r="AX14">
        <f>'Uncorrected Area Counts'!H16</f>
        <v>0</v>
      </c>
      <c r="AY14" t="e">
        <f>Yields!F16</f>
        <v>#DIV/0!</v>
      </c>
      <c r="AZ14">
        <f>'Plate Planning'!$K$20</f>
        <v>0</v>
      </c>
      <c r="BA14">
        <f>'Plate Planning'!$L$20</f>
        <v>0</v>
      </c>
      <c r="BB14">
        <f>'Uncorrected Area Counts'!I16</f>
        <v>0</v>
      </c>
      <c r="BC14" t="e">
        <f>Yields!G16</f>
        <v>#DIV/0!</v>
      </c>
      <c r="BD14">
        <f>'Plate Planning'!$K$21</f>
        <v>0</v>
      </c>
      <c r="BE14">
        <f>'Plate Planning'!$L$21</f>
        <v>0</v>
      </c>
      <c r="BF14">
        <f>'Uncorrected Area Counts'!J16</f>
        <v>0</v>
      </c>
      <c r="BG14" t="e">
        <f>Yields!H16</f>
        <v>#DIV/0!</v>
      </c>
      <c r="BH14">
        <f>'Plate Planning'!$K$22</f>
        <v>0</v>
      </c>
      <c r="BI14">
        <f>'Plate Planning'!$L$22</f>
        <v>0</v>
      </c>
      <c r="BJ14">
        <f>'Uncorrected Area Counts'!K16</f>
        <v>0</v>
      </c>
      <c r="BK14" t="e">
        <f>Yields!I16</f>
        <v>#DIV/0!</v>
      </c>
      <c r="BL14">
        <f>'Plate Planning'!$K$23</f>
        <v>0</v>
      </c>
      <c r="BM14">
        <f>'Plate Planning'!$L$23</f>
        <v>0</v>
      </c>
      <c r="BN14">
        <f>'Uncorrected Area Counts'!L16</f>
        <v>0</v>
      </c>
      <c r="BO14" t="e">
        <f>Yields!J16</f>
        <v>#DIV/0!</v>
      </c>
      <c r="BP14">
        <f>'Plate Planning'!$K$24</f>
        <v>0</v>
      </c>
      <c r="BQ14">
        <f>'Plate Planning'!$L$24</f>
        <v>0</v>
      </c>
      <c r="BR14">
        <f>'Uncorrected Area Counts'!M16</f>
        <v>0</v>
      </c>
      <c r="BS14" t="e">
        <f>Yields!K16</f>
        <v>#DIV/0!</v>
      </c>
      <c r="BT14">
        <f>'Plate Planning'!$L$17</f>
        <v>0</v>
      </c>
      <c r="BU14">
        <f>'Plate Planning'!$M$17</f>
        <v>0</v>
      </c>
      <c r="BV14">
        <f>'Uncorrected Area Counts'!F16</f>
        <v>0</v>
      </c>
    </row>
    <row r="15" spans="1:77">
      <c r="A15" s="1">
        <v>14</v>
      </c>
      <c r="B15" s="1">
        <v>2</v>
      </c>
      <c r="C15" s="1">
        <v>2</v>
      </c>
      <c r="D15" s="1">
        <f>'Plate Planning'!$H$16</f>
        <v>0</v>
      </c>
      <c r="E15" s="1" t="str">
        <f>'Plate Planning'!$H$17</f>
        <v>LC-MS</v>
      </c>
      <c r="F15" s="1">
        <f>'Plate Planning'!$H$18</f>
        <v>500</v>
      </c>
      <c r="G15" s="1">
        <f>'Plate Planning'!$H$20</f>
        <v>25</v>
      </c>
      <c r="H15" s="1">
        <f>'Plate Planning'!$H$19</f>
        <v>24</v>
      </c>
      <c r="I15" s="1" t="b">
        <f>'Plate Planning'!$H$21</f>
        <v>1</v>
      </c>
      <c r="J15" s="1" t="str">
        <f>IF('Plate Planning'!$H$22=0, "NA",'Plate Planning'!$H$22)</f>
        <v>NA</v>
      </c>
      <c r="K15" s="1">
        <f>Reagents!$D$2</f>
        <v>0</v>
      </c>
      <c r="L15" s="1">
        <f>Reagents!$D$2</f>
        <v>0</v>
      </c>
      <c r="M15" s="1">
        <f>Reagents!$J$2</f>
        <v>0</v>
      </c>
      <c r="N15" s="1">
        <f>Reagents!$D$3</f>
        <v>0</v>
      </c>
      <c r="O15" s="1">
        <f>Reagents!$J$3</f>
        <v>0</v>
      </c>
      <c r="P15" s="1">
        <f>Reagents!$D$4</f>
        <v>0</v>
      </c>
      <c r="Q15" s="1">
        <f>Reagents!$J$4</f>
        <v>0</v>
      </c>
      <c r="R15" s="1">
        <f>Reagents!$D$5</f>
        <v>0</v>
      </c>
      <c r="S15" s="1">
        <f>Reagents!$J$5</f>
        <v>0</v>
      </c>
      <c r="T15" s="1">
        <f>Reagents!$D$6</f>
        <v>0</v>
      </c>
      <c r="U15" s="1">
        <f>Reagents!$J$6</f>
        <v>0</v>
      </c>
      <c r="V15" s="1">
        <f>Reagents!$D$7</f>
        <v>0</v>
      </c>
      <c r="W15" s="1">
        <f>Reagents!$J$7</f>
        <v>0</v>
      </c>
      <c r="X15" s="1">
        <f>Reagents!$D$8</f>
        <v>0</v>
      </c>
      <c r="Y15" s="1">
        <f>Reagents!$J$8</f>
        <v>0</v>
      </c>
      <c r="Z15" s="1">
        <f>Reagents!$D$9</f>
        <v>0</v>
      </c>
      <c r="AA15" s="1">
        <f>Reagents!$J$9</f>
        <v>0</v>
      </c>
      <c r="AB15" s="1">
        <f>Reagents!$D$10</f>
        <v>0</v>
      </c>
      <c r="AC15" s="1">
        <f>Reagents!$J$10</f>
        <v>0</v>
      </c>
      <c r="AD15" s="1">
        <f>Reagents!$D$11</f>
        <v>0</v>
      </c>
      <c r="AE15" s="1">
        <f>Reagents!$J$11</f>
        <v>0</v>
      </c>
      <c r="AF15" t="str">
        <f>Reagents!$C$13</f>
        <v>-</v>
      </c>
      <c r="AG15">
        <f>Reagents!$D$13</f>
        <v>0</v>
      </c>
      <c r="AH15">
        <f>Reagents!$J$13</f>
        <v>0</v>
      </c>
      <c r="AI15" t="str">
        <f>Reagents!$C$25</f>
        <v>-</v>
      </c>
      <c r="AJ15">
        <f>Reagents!$D$25</f>
        <v>0</v>
      </c>
      <c r="AK15">
        <f>Reagents!$J$25</f>
        <v>0</v>
      </c>
      <c r="AL15" t="str">
        <f>Reagents!$C$37</f>
        <v>-</v>
      </c>
      <c r="AM15">
        <f>Reagents!$D$37</f>
        <v>0</v>
      </c>
      <c r="AN15">
        <f>Reagents!$J$37</f>
        <v>0</v>
      </c>
      <c r="AO15" t="str">
        <f>Reagents!$C$45</f>
        <v>-</v>
      </c>
      <c r="AP15">
        <f>Reagents!$D$45</f>
        <v>0</v>
      </c>
      <c r="AQ15">
        <f>Reagents!$J$45</f>
        <v>0</v>
      </c>
      <c r="AR15">
        <f>'Plate Planning'!$K$18</f>
        <v>0</v>
      </c>
      <c r="AS15">
        <f>'Plate Planning'!$L$18</f>
        <v>0</v>
      </c>
      <c r="AT15">
        <f>'Uncorrected Area Counts'!G17</f>
        <v>0</v>
      </c>
      <c r="AU15" t="e">
        <f>Yields!E17</f>
        <v>#DIV/0!</v>
      </c>
      <c r="AV15">
        <f>'Plate Planning'!$K$19</f>
        <v>0</v>
      </c>
      <c r="AW15">
        <f>'Plate Planning'!$L$19</f>
        <v>0</v>
      </c>
      <c r="AX15">
        <f>'Uncorrected Area Counts'!H17</f>
        <v>0</v>
      </c>
      <c r="AY15" t="e">
        <f>Yields!F17</f>
        <v>#DIV/0!</v>
      </c>
      <c r="AZ15">
        <f>'Plate Planning'!$K$20</f>
        <v>0</v>
      </c>
      <c r="BA15">
        <f>'Plate Planning'!$L$20</f>
        <v>0</v>
      </c>
      <c r="BB15">
        <f>'Uncorrected Area Counts'!I17</f>
        <v>0</v>
      </c>
      <c r="BC15" t="e">
        <f>Yields!G17</f>
        <v>#DIV/0!</v>
      </c>
      <c r="BD15">
        <f>'Plate Planning'!$K$21</f>
        <v>0</v>
      </c>
      <c r="BE15">
        <f>'Plate Planning'!$L$21</f>
        <v>0</v>
      </c>
      <c r="BF15">
        <f>'Uncorrected Area Counts'!J17</f>
        <v>0</v>
      </c>
      <c r="BG15" t="e">
        <f>Yields!H17</f>
        <v>#DIV/0!</v>
      </c>
      <c r="BH15">
        <f>'Plate Planning'!$K$22</f>
        <v>0</v>
      </c>
      <c r="BI15">
        <f>'Plate Planning'!$L$22</f>
        <v>0</v>
      </c>
      <c r="BJ15">
        <f>'Uncorrected Area Counts'!K17</f>
        <v>0</v>
      </c>
      <c r="BK15" t="e">
        <f>Yields!I17</f>
        <v>#DIV/0!</v>
      </c>
      <c r="BL15">
        <f>'Plate Planning'!$K$23</f>
        <v>0</v>
      </c>
      <c r="BM15">
        <f>'Plate Planning'!$L$23</f>
        <v>0</v>
      </c>
      <c r="BN15">
        <f>'Uncorrected Area Counts'!L17</f>
        <v>0</v>
      </c>
      <c r="BO15" t="e">
        <f>Yields!J17</f>
        <v>#DIV/0!</v>
      </c>
      <c r="BP15">
        <f>'Plate Planning'!$K$24</f>
        <v>0</v>
      </c>
      <c r="BQ15">
        <f>'Plate Planning'!$L$24</f>
        <v>0</v>
      </c>
      <c r="BR15">
        <f>'Uncorrected Area Counts'!M17</f>
        <v>0</v>
      </c>
      <c r="BS15" t="e">
        <f>Yields!K17</f>
        <v>#DIV/0!</v>
      </c>
      <c r="BT15">
        <f>'Plate Planning'!$L$17</f>
        <v>0</v>
      </c>
      <c r="BU15">
        <f>'Plate Planning'!$M$17</f>
        <v>0</v>
      </c>
      <c r="BV15">
        <f>'Uncorrected Area Counts'!F17</f>
        <v>0</v>
      </c>
    </row>
    <row r="16" spans="1:77">
      <c r="A16" s="1">
        <v>15</v>
      </c>
      <c r="B16" s="1">
        <v>3</v>
      </c>
      <c r="C16" s="1">
        <v>2</v>
      </c>
      <c r="D16" s="1">
        <f>'Plate Planning'!$H$16</f>
        <v>0</v>
      </c>
      <c r="E16" s="1" t="str">
        <f>'Plate Planning'!$H$17</f>
        <v>LC-MS</v>
      </c>
      <c r="F16" s="1">
        <f>'Plate Planning'!$H$18</f>
        <v>500</v>
      </c>
      <c r="G16" s="1">
        <f>'Plate Planning'!$H$20</f>
        <v>25</v>
      </c>
      <c r="H16" s="1">
        <f>'Plate Planning'!$H$19</f>
        <v>24</v>
      </c>
      <c r="I16" s="1" t="b">
        <f>'Plate Planning'!$H$21</f>
        <v>1</v>
      </c>
      <c r="J16" s="1" t="str">
        <f>IF('Plate Planning'!$H$22=0, "NA",'Plate Planning'!$H$22)</f>
        <v>NA</v>
      </c>
      <c r="K16" s="1">
        <f>Reagents!$D$2</f>
        <v>0</v>
      </c>
      <c r="L16" s="1">
        <f>Reagents!$D$2</f>
        <v>0</v>
      </c>
      <c r="M16" s="1">
        <f>Reagents!$J$2</f>
        <v>0</v>
      </c>
      <c r="N16" s="1">
        <f>Reagents!$D$3</f>
        <v>0</v>
      </c>
      <c r="O16" s="1">
        <f>Reagents!$J$3</f>
        <v>0</v>
      </c>
      <c r="P16" s="1">
        <f>Reagents!$D$4</f>
        <v>0</v>
      </c>
      <c r="Q16" s="1">
        <f>Reagents!$J$4</f>
        <v>0</v>
      </c>
      <c r="R16" s="1">
        <f>Reagents!$D$5</f>
        <v>0</v>
      </c>
      <c r="S16" s="1">
        <f>Reagents!$J$5</f>
        <v>0</v>
      </c>
      <c r="T16" s="1">
        <f>Reagents!$D$6</f>
        <v>0</v>
      </c>
      <c r="U16" s="1">
        <f>Reagents!$J$6</f>
        <v>0</v>
      </c>
      <c r="V16" s="1">
        <f>Reagents!$D$7</f>
        <v>0</v>
      </c>
      <c r="W16" s="1">
        <f>Reagents!$J$7</f>
        <v>0</v>
      </c>
      <c r="X16" s="1">
        <f>Reagents!$D$8</f>
        <v>0</v>
      </c>
      <c r="Y16" s="1">
        <f>Reagents!$J$8</f>
        <v>0</v>
      </c>
      <c r="Z16" s="1">
        <f>Reagents!$D$9</f>
        <v>0</v>
      </c>
      <c r="AA16" s="1">
        <f>Reagents!$J$9</f>
        <v>0</v>
      </c>
      <c r="AB16" s="1">
        <f>Reagents!$D$10</f>
        <v>0</v>
      </c>
      <c r="AC16" s="1">
        <f>Reagents!$J$10</f>
        <v>0</v>
      </c>
      <c r="AD16" s="1">
        <f>Reagents!$D$11</f>
        <v>0</v>
      </c>
      <c r="AE16" s="1">
        <f>Reagents!$J$11</f>
        <v>0</v>
      </c>
      <c r="AF16" t="str">
        <f>Reagents!$C$14</f>
        <v>-</v>
      </c>
      <c r="AG16">
        <f>Reagents!$D$14</f>
        <v>0</v>
      </c>
      <c r="AH16">
        <f>Reagents!$J$14</f>
        <v>0</v>
      </c>
      <c r="AI16" t="str">
        <f>Reagents!$C$26</f>
        <v>-</v>
      </c>
      <c r="AJ16">
        <f>Reagents!$D$26</f>
        <v>0</v>
      </c>
      <c r="AK16">
        <f>Reagents!$J$26</f>
        <v>0</v>
      </c>
      <c r="AL16" t="str">
        <f>Reagents!$C$37</f>
        <v>-</v>
      </c>
      <c r="AM16">
        <f>Reagents!$D$37</f>
        <v>0</v>
      </c>
      <c r="AN16">
        <f>Reagents!$J$37</f>
        <v>0</v>
      </c>
      <c r="AO16" t="str">
        <f>Reagents!$C$45</f>
        <v>-</v>
      </c>
      <c r="AP16">
        <f>Reagents!$D$45</f>
        <v>0</v>
      </c>
      <c r="AQ16">
        <f>Reagents!$J$45</f>
        <v>0</v>
      </c>
      <c r="AR16">
        <f>'Plate Planning'!$K$18</f>
        <v>0</v>
      </c>
      <c r="AS16">
        <f>'Plate Planning'!$L$18</f>
        <v>0</v>
      </c>
      <c r="AT16">
        <f>'Uncorrected Area Counts'!G18</f>
        <v>0</v>
      </c>
      <c r="AU16" t="e">
        <f>Yields!E18</f>
        <v>#DIV/0!</v>
      </c>
      <c r="AV16">
        <f>'Plate Planning'!$K$19</f>
        <v>0</v>
      </c>
      <c r="AW16">
        <f>'Plate Planning'!$L$19</f>
        <v>0</v>
      </c>
      <c r="AX16">
        <f>'Uncorrected Area Counts'!H18</f>
        <v>0</v>
      </c>
      <c r="AY16" t="e">
        <f>Yields!F18</f>
        <v>#DIV/0!</v>
      </c>
      <c r="AZ16">
        <f>'Plate Planning'!$K$20</f>
        <v>0</v>
      </c>
      <c r="BA16">
        <f>'Plate Planning'!$L$20</f>
        <v>0</v>
      </c>
      <c r="BB16">
        <f>'Uncorrected Area Counts'!I18</f>
        <v>0</v>
      </c>
      <c r="BC16" t="e">
        <f>Yields!G18</f>
        <v>#DIV/0!</v>
      </c>
      <c r="BD16">
        <f>'Plate Planning'!$K$21</f>
        <v>0</v>
      </c>
      <c r="BE16">
        <f>'Plate Planning'!$L$21</f>
        <v>0</v>
      </c>
      <c r="BF16">
        <f>'Uncorrected Area Counts'!J18</f>
        <v>0</v>
      </c>
      <c r="BG16" t="e">
        <f>Yields!H18</f>
        <v>#DIV/0!</v>
      </c>
      <c r="BH16">
        <f>'Plate Planning'!$K$22</f>
        <v>0</v>
      </c>
      <c r="BI16">
        <f>'Plate Planning'!$L$22</f>
        <v>0</v>
      </c>
      <c r="BJ16">
        <f>'Uncorrected Area Counts'!K18</f>
        <v>0</v>
      </c>
      <c r="BK16" t="e">
        <f>Yields!I18</f>
        <v>#DIV/0!</v>
      </c>
      <c r="BL16">
        <f>'Plate Planning'!$K$23</f>
        <v>0</v>
      </c>
      <c r="BM16">
        <f>'Plate Planning'!$L$23</f>
        <v>0</v>
      </c>
      <c r="BN16">
        <f>'Uncorrected Area Counts'!L18</f>
        <v>0</v>
      </c>
      <c r="BO16" t="e">
        <f>Yields!J18</f>
        <v>#DIV/0!</v>
      </c>
      <c r="BP16">
        <f>'Plate Planning'!$K$24</f>
        <v>0</v>
      </c>
      <c r="BQ16">
        <f>'Plate Planning'!$L$24</f>
        <v>0</v>
      </c>
      <c r="BR16">
        <f>'Uncorrected Area Counts'!M18</f>
        <v>0</v>
      </c>
      <c r="BS16" t="e">
        <f>Yields!K18</f>
        <v>#DIV/0!</v>
      </c>
      <c r="BT16">
        <f>'Plate Planning'!$L$17</f>
        <v>0</v>
      </c>
      <c r="BU16">
        <f>'Plate Planning'!$M$17</f>
        <v>0</v>
      </c>
      <c r="BV16">
        <f>'Uncorrected Area Counts'!F18</f>
        <v>0</v>
      </c>
    </row>
    <row r="17" spans="1:74">
      <c r="A17" s="1">
        <v>16</v>
      </c>
      <c r="B17" s="1">
        <v>4</v>
      </c>
      <c r="C17" s="1">
        <v>2</v>
      </c>
      <c r="D17" s="1">
        <f>'Plate Planning'!$H$16</f>
        <v>0</v>
      </c>
      <c r="E17" s="1" t="str">
        <f>'Plate Planning'!$H$17</f>
        <v>LC-MS</v>
      </c>
      <c r="F17" s="1">
        <f>'Plate Planning'!$H$18</f>
        <v>500</v>
      </c>
      <c r="G17" s="1">
        <f>'Plate Planning'!$H$20</f>
        <v>25</v>
      </c>
      <c r="H17" s="1">
        <f>'Plate Planning'!$H$19</f>
        <v>24</v>
      </c>
      <c r="I17" s="1" t="b">
        <f>'Plate Planning'!$H$21</f>
        <v>1</v>
      </c>
      <c r="J17" s="1" t="str">
        <f>IF('Plate Planning'!$H$22=0, "NA",'Plate Planning'!$H$22)</f>
        <v>NA</v>
      </c>
      <c r="K17" s="1">
        <f>Reagents!$D$2</f>
        <v>0</v>
      </c>
      <c r="L17" s="1">
        <f>Reagents!$D$2</f>
        <v>0</v>
      </c>
      <c r="M17" s="1">
        <f>Reagents!$J$2</f>
        <v>0</v>
      </c>
      <c r="N17" s="1">
        <f>Reagents!$D$3</f>
        <v>0</v>
      </c>
      <c r="O17" s="1">
        <f>Reagents!$J$3</f>
        <v>0</v>
      </c>
      <c r="P17" s="1">
        <f>Reagents!$D$4</f>
        <v>0</v>
      </c>
      <c r="Q17" s="1">
        <f>Reagents!$J$4</f>
        <v>0</v>
      </c>
      <c r="R17" s="1">
        <f>Reagents!$D$5</f>
        <v>0</v>
      </c>
      <c r="S17" s="1">
        <f>Reagents!$J$5</f>
        <v>0</v>
      </c>
      <c r="T17" s="1">
        <f>Reagents!$D$6</f>
        <v>0</v>
      </c>
      <c r="U17" s="1">
        <f>Reagents!$J$6</f>
        <v>0</v>
      </c>
      <c r="V17" s="1">
        <f>Reagents!$D$7</f>
        <v>0</v>
      </c>
      <c r="W17" s="1">
        <f>Reagents!$J$7</f>
        <v>0</v>
      </c>
      <c r="X17" s="1">
        <f>Reagents!$D$8</f>
        <v>0</v>
      </c>
      <c r="Y17" s="1">
        <f>Reagents!$J$8</f>
        <v>0</v>
      </c>
      <c r="Z17" s="1">
        <f>Reagents!$D$9</f>
        <v>0</v>
      </c>
      <c r="AA17" s="1">
        <f>Reagents!$J$9</f>
        <v>0</v>
      </c>
      <c r="AB17" s="1">
        <f>Reagents!$D$10</f>
        <v>0</v>
      </c>
      <c r="AC17" s="1">
        <f>Reagents!$J$10</f>
        <v>0</v>
      </c>
      <c r="AD17" s="1">
        <f>Reagents!$D$11</f>
        <v>0</v>
      </c>
      <c r="AE17" s="1">
        <f>Reagents!$J$11</f>
        <v>0</v>
      </c>
      <c r="AF17" t="str">
        <f>Reagents!$C$15</f>
        <v>-</v>
      </c>
      <c r="AG17">
        <f>Reagents!$D$15</f>
        <v>0</v>
      </c>
      <c r="AH17">
        <f>Reagents!$J$15</f>
        <v>0</v>
      </c>
      <c r="AI17" t="str">
        <f>Reagents!$C$27</f>
        <v>-</v>
      </c>
      <c r="AJ17">
        <f>Reagents!$D$27</f>
        <v>0</v>
      </c>
      <c r="AK17">
        <f>Reagents!$J$27</f>
        <v>0</v>
      </c>
      <c r="AL17" t="str">
        <f>Reagents!$C$37</f>
        <v>-</v>
      </c>
      <c r="AM17">
        <f>Reagents!$D$37</f>
        <v>0</v>
      </c>
      <c r="AN17">
        <f>Reagents!$J$37</f>
        <v>0</v>
      </c>
      <c r="AO17" t="str">
        <f>Reagents!$C$45</f>
        <v>-</v>
      </c>
      <c r="AP17">
        <f>Reagents!$D$45</f>
        <v>0</v>
      </c>
      <c r="AQ17">
        <f>Reagents!$J$45</f>
        <v>0</v>
      </c>
      <c r="AR17">
        <f>'Plate Planning'!$K$18</f>
        <v>0</v>
      </c>
      <c r="AS17">
        <f>'Plate Planning'!$L$18</f>
        <v>0</v>
      </c>
      <c r="AT17">
        <f>'Uncorrected Area Counts'!G19</f>
        <v>0</v>
      </c>
      <c r="AU17" t="e">
        <f>Yields!E19</f>
        <v>#DIV/0!</v>
      </c>
      <c r="AV17">
        <f>'Plate Planning'!$K$19</f>
        <v>0</v>
      </c>
      <c r="AW17">
        <f>'Plate Planning'!$L$19</f>
        <v>0</v>
      </c>
      <c r="AX17">
        <f>'Uncorrected Area Counts'!H19</f>
        <v>0</v>
      </c>
      <c r="AY17" t="e">
        <f>Yields!F19</f>
        <v>#DIV/0!</v>
      </c>
      <c r="AZ17">
        <f>'Plate Planning'!$K$20</f>
        <v>0</v>
      </c>
      <c r="BA17">
        <f>'Plate Planning'!$L$20</f>
        <v>0</v>
      </c>
      <c r="BB17">
        <f>'Uncorrected Area Counts'!I19</f>
        <v>0</v>
      </c>
      <c r="BC17" t="e">
        <f>Yields!G19</f>
        <v>#DIV/0!</v>
      </c>
      <c r="BD17">
        <f>'Plate Planning'!$K$21</f>
        <v>0</v>
      </c>
      <c r="BE17">
        <f>'Plate Planning'!$L$21</f>
        <v>0</v>
      </c>
      <c r="BF17">
        <f>'Uncorrected Area Counts'!J19</f>
        <v>0</v>
      </c>
      <c r="BG17" t="e">
        <f>Yields!H19</f>
        <v>#DIV/0!</v>
      </c>
      <c r="BH17">
        <f>'Plate Planning'!$K$22</f>
        <v>0</v>
      </c>
      <c r="BI17">
        <f>'Plate Planning'!$L$22</f>
        <v>0</v>
      </c>
      <c r="BJ17">
        <f>'Uncorrected Area Counts'!K19</f>
        <v>0</v>
      </c>
      <c r="BK17" t="e">
        <f>Yields!I19</f>
        <v>#DIV/0!</v>
      </c>
      <c r="BL17">
        <f>'Plate Planning'!$K$23</f>
        <v>0</v>
      </c>
      <c r="BM17">
        <f>'Plate Planning'!$L$23</f>
        <v>0</v>
      </c>
      <c r="BN17">
        <f>'Uncorrected Area Counts'!L19</f>
        <v>0</v>
      </c>
      <c r="BO17" t="e">
        <f>Yields!J19</f>
        <v>#DIV/0!</v>
      </c>
      <c r="BP17">
        <f>'Plate Planning'!$K$24</f>
        <v>0</v>
      </c>
      <c r="BQ17">
        <f>'Plate Planning'!$L$24</f>
        <v>0</v>
      </c>
      <c r="BR17">
        <f>'Uncorrected Area Counts'!M19</f>
        <v>0</v>
      </c>
      <c r="BS17" t="e">
        <f>Yields!K19</f>
        <v>#DIV/0!</v>
      </c>
      <c r="BT17">
        <f>'Plate Planning'!$L$17</f>
        <v>0</v>
      </c>
      <c r="BU17">
        <f>'Plate Planning'!$M$17</f>
        <v>0</v>
      </c>
      <c r="BV17">
        <f>'Uncorrected Area Counts'!F19</f>
        <v>0</v>
      </c>
    </row>
    <row r="18" spans="1:74">
      <c r="A18" s="1">
        <v>17</v>
      </c>
      <c r="B18" s="1">
        <v>5</v>
      </c>
      <c r="C18" s="1">
        <v>2</v>
      </c>
      <c r="D18" s="1">
        <f>'Plate Planning'!$H$16</f>
        <v>0</v>
      </c>
      <c r="E18" s="1" t="str">
        <f>'Plate Planning'!$H$17</f>
        <v>LC-MS</v>
      </c>
      <c r="F18" s="1">
        <f>'Plate Planning'!$H$18</f>
        <v>500</v>
      </c>
      <c r="G18" s="1">
        <f>'Plate Planning'!$H$20</f>
        <v>25</v>
      </c>
      <c r="H18" s="1">
        <f>'Plate Planning'!$H$19</f>
        <v>24</v>
      </c>
      <c r="I18" s="1" t="b">
        <f>'Plate Planning'!$H$21</f>
        <v>1</v>
      </c>
      <c r="J18" s="1" t="str">
        <f>IF('Plate Planning'!$H$22=0, "NA",'Plate Planning'!$H$22)</f>
        <v>NA</v>
      </c>
      <c r="K18" s="1">
        <f>Reagents!$D$2</f>
        <v>0</v>
      </c>
      <c r="L18" s="1">
        <f>Reagents!$D$2</f>
        <v>0</v>
      </c>
      <c r="M18" s="1">
        <f>Reagents!$J$2</f>
        <v>0</v>
      </c>
      <c r="N18" s="1">
        <f>Reagents!$D$3</f>
        <v>0</v>
      </c>
      <c r="O18" s="1">
        <f>Reagents!$J$3</f>
        <v>0</v>
      </c>
      <c r="P18" s="1">
        <f>Reagents!$D$4</f>
        <v>0</v>
      </c>
      <c r="Q18" s="1">
        <f>Reagents!$J$4</f>
        <v>0</v>
      </c>
      <c r="R18" s="1">
        <f>Reagents!$D$5</f>
        <v>0</v>
      </c>
      <c r="S18" s="1">
        <f>Reagents!$J$5</f>
        <v>0</v>
      </c>
      <c r="T18" s="1">
        <f>Reagents!$D$6</f>
        <v>0</v>
      </c>
      <c r="U18" s="1">
        <f>Reagents!$J$6</f>
        <v>0</v>
      </c>
      <c r="V18" s="1">
        <f>Reagents!$D$7</f>
        <v>0</v>
      </c>
      <c r="W18" s="1">
        <f>Reagents!$J$7</f>
        <v>0</v>
      </c>
      <c r="X18" s="1">
        <f>Reagents!$D$8</f>
        <v>0</v>
      </c>
      <c r="Y18" s="1">
        <f>Reagents!$J$8</f>
        <v>0</v>
      </c>
      <c r="Z18" s="1">
        <f>Reagents!$D$9</f>
        <v>0</v>
      </c>
      <c r="AA18" s="1">
        <f>Reagents!$J$9</f>
        <v>0</v>
      </c>
      <c r="AB18" s="1">
        <f>Reagents!$D$10</f>
        <v>0</v>
      </c>
      <c r="AC18" s="1">
        <f>Reagents!$J$10</f>
        <v>0</v>
      </c>
      <c r="AD18" s="1">
        <f>Reagents!$D$11</f>
        <v>0</v>
      </c>
      <c r="AE18" s="1">
        <f>Reagents!$J$11</f>
        <v>0</v>
      </c>
      <c r="AF18" t="str">
        <f>Reagents!$C$16</f>
        <v>-</v>
      </c>
      <c r="AG18">
        <f>Reagents!$D$16</f>
        <v>0</v>
      </c>
      <c r="AH18">
        <f>Reagents!$J$16</f>
        <v>0</v>
      </c>
      <c r="AI18" t="str">
        <f>Reagents!$C$28</f>
        <v>-</v>
      </c>
      <c r="AJ18">
        <f>Reagents!$D$28</f>
        <v>0</v>
      </c>
      <c r="AK18">
        <f>Reagents!$J$28</f>
        <v>0</v>
      </c>
      <c r="AL18" t="str">
        <f>Reagents!$C$37</f>
        <v>-</v>
      </c>
      <c r="AM18">
        <f>Reagents!$D$37</f>
        <v>0</v>
      </c>
      <c r="AN18">
        <f>Reagents!$J$37</f>
        <v>0</v>
      </c>
      <c r="AO18" t="str">
        <f>Reagents!$C$45</f>
        <v>-</v>
      </c>
      <c r="AP18">
        <f>Reagents!$D$45</f>
        <v>0</v>
      </c>
      <c r="AQ18">
        <f>Reagents!$J$45</f>
        <v>0</v>
      </c>
      <c r="AR18">
        <f>'Plate Planning'!$K$18</f>
        <v>0</v>
      </c>
      <c r="AS18">
        <f>'Plate Planning'!$L$18</f>
        <v>0</v>
      </c>
      <c r="AT18">
        <f>'Uncorrected Area Counts'!G20</f>
        <v>0</v>
      </c>
      <c r="AU18" t="e">
        <f>Yields!E20</f>
        <v>#DIV/0!</v>
      </c>
      <c r="AV18">
        <f>'Plate Planning'!$K$19</f>
        <v>0</v>
      </c>
      <c r="AW18">
        <f>'Plate Planning'!$L$19</f>
        <v>0</v>
      </c>
      <c r="AX18">
        <f>'Uncorrected Area Counts'!H20</f>
        <v>0</v>
      </c>
      <c r="AY18" t="e">
        <f>Yields!F20</f>
        <v>#DIV/0!</v>
      </c>
      <c r="AZ18">
        <f>'Plate Planning'!$K$20</f>
        <v>0</v>
      </c>
      <c r="BA18">
        <f>'Plate Planning'!$L$20</f>
        <v>0</v>
      </c>
      <c r="BB18">
        <f>'Uncorrected Area Counts'!I20</f>
        <v>0</v>
      </c>
      <c r="BC18" t="e">
        <f>Yields!G20</f>
        <v>#DIV/0!</v>
      </c>
      <c r="BD18">
        <f>'Plate Planning'!$K$21</f>
        <v>0</v>
      </c>
      <c r="BE18">
        <f>'Plate Planning'!$L$21</f>
        <v>0</v>
      </c>
      <c r="BF18">
        <f>'Uncorrected Area Counts'!J20</f>
        <v>0</v>
      </c>
      <c r="BG18" t="e">
        <f>Yields!H20</f>
        <v>#DIV/0!</v>
      </c>
      <c r="BH18">
        <f>'Plate Planning'!$K$22</f>
        <v>0</v>
      </c>
      <c r="BI18">
        <f>'Plate Planning'!$L$22</f>
        <v>0</v>
      </c>
      <c r="BJ18">
        <f>'Uncorrected Area Counts'!K20</f>
        <v>0</v>
      </c>
      <c r="BK18" t="e">
        <f>Yields!I20</f>
        <v>#DIV/0!</v>
      </c>
      <c r="BL18">
        <f>'Plate Planning'!$K$23</f>
        <v>0</v>
      </c>
      <c r="BM18">
        <f>'Plate Planning'!$L$23</f>
        <v>0</v>
      </c>
      <c r="BN18">
        <f>'Uncorrected Area Counts'!L20</f>
        <v>0</v>
      </c>
      <c r="BO18" t="e">
        <f>Yields!J20</f>
        <v>#DIV/0!</v>
      </c>
      <c r="BP18">
        <f>'Plate Planning'!$K$24</f>
        <v>0</v>
      </c>
      <c r="BQ18">
        <f>'Plate Planning'!$L$24</f>
        <v>0</v>
      </c>
      <c r="BR18">
        <f>'Uncorrected Area Counts'!M20</f>
        <v>0</v>
      </c>
      <c r="BS18" t="e">
        <f>Yields!K20</f>
        <v>#DIV/0!</v>
      </c>
      <c r="BT18">
        <f>'Plate Planning'!$L$17</f>
        <v>0</v>
      </c>
      <c r="BU18">
        <f>'Plate Planning'!$M$17</f>
        <v>0</v>
      </c>
      <c r="BV18">
        <f>'Uncorrected Area Counts'!F20</f>
        <v>0</v>
      </c>
    </row>
    <row r="19" spans="1:74">
      <c r="A19" s="1">
        <v>18</v>
      </c>
      <c r="B19" s="1">
        <v>6</v>
      </c>
      <c r="C19" s="1">
        <v>2</v>
      </c>
      <c r="D19" s="1">
        <f>'Plate Planning'!$H$16</f>
        <v>0</v>
      </c>
      <c r="E19" s="1" t="str">
        <f>'Plate Planning'!$H$17</f>
        <v>LC-MS</v>
      </c>
      <c r="F19" s="1">
        <f>'Plate Planning'!$H$18</f>
        <v>500</v>
      </c>
      <c r="G19" s="1">
        <f>'Plate Planning'!$H$20</f>
        <v>25</v>
      </c>
      <c r="H19" s="1">
        <f>'Plate Planning'!$H$19</f>
        <v>24</v>
      </c>
      <c r="I19" s="1" t="b">
        <f>'Plate Planning'!$H$21</f>
        <v>1</v>
      </c>
      <c r="J19" s="1" t="str">
        <f>IF('Plate Planning'!$H$22=0, "NA",'Plate Planning'!$H$22)</f>
        <v>NA</v>
      </c>
      <c r="K19" s="1">
        <f>Reagents!$D$2</f>
        <v>0</v>
      </c>
      <c r="L19" s="1">
        <f>Reagents!$D$2</f>
        <v>0</v>
      </c>
      <c r="M19" s="1">
        <f>Reagents!$J$2</f>
        <v>0</v>
      </c>
      <c r="N19" s="1">
        <f>Reagents!$D$3</f>
        <v>0</v>
      </c>
      <c r="O19" s="1">
        <f>Reagents!$J$3</f>
        <v>0</v>
      </c>
      <c r="P19" s="1">
        <f>Reagents!$D$4</f>
        <v>0</v>
      </c>
      <c r="Q19" s="1">
        <f>Reagents!$J$4</f>
        <v>0</v>
      </c>
      <c r="R19" s="1">
        <f>Reagents!$D$5</f>
        <v>0</v>
      </c>
      <c r="S19" s="1">
        <f>Reagents!$J$5</f>
        <v>0</v>
      </c>
      <c r="T19" s="1">
        <f>Reagents!$D$6</f>
        <v>0</v>
      </c>
      <c r="U19" s="1">
        <f>Reagents!$J$6</f>
        <v>0</v>
      </c>
      <c r="V19" s="1">
        <f>Reagents!$D$7</f>
        <v>0</v>
      </c>
      <c r="W19" s="1">
        <f>Reagents!$J$7</f>
        <v>0</v>
      </c>
      <c r="X19" s="1">
        <f>Reagents!$D$8</f>
        <v>0</v>
      </c>
      <c r="Y19" s="1">
        <f>Reagents!$J$8</f>
        <v>0</v>
      </c>
      <c r="Z19" s="1">
        <f>Reagents!$D$9</f>
        <v>0</v>
      </c>
      <c r="AA19" s="1">
        <f>Reagents!$J$9</f>
        <v>0</v>
      </c>
      <c r="AB19" s="1">
        <f>Reagents!$D$10</f>
        <v>0</v>
      </c>
      <c r="AC19" s="1">
        <f>Reagents!$J$10</f>
        <v>0</v>
      </c>
      <c r="AD19" s="1">
        <f>Reagents!$D$11</f>
        <v>0</v>
      </c>
      <c r="AE19" s="1">
        <f>Reagents!$J$11</f>
        <v>0</v>
      </c>
      <c r="AF19" t="str">
        <f>Reagents!$C$17</f>
        <v>-</v>
      </c>
      <c r="AG19">
        <f>Reagents!$D$17</f>
        <v>0</v>
      </c>
      <c r="AH19">
        <f>Reagents!$J$17</f>
        <v>0</v>
      </c>
      <c r="AI19" t="str">
        <f>Reagents!$C$29</f>
        <v>-</v>
      </c>
      <c r="AJ19">
        <f>Reagents!$D$29</f>
        <v>0</v>
      </c>
      <c r="AK19">
        <f>Reagents!$J$29</f>
        <v>0</v>
      </c>
      <c r="AL19" t="str">
        <f>Reagents!$C$37</f>
        <v>-</v>
      </c>
      <c r="AM19">
        <f>Reagents!$D$37</f>
        <v>0</v>
      </c>
      <c r="AN19">
        <f>Reagents!$J$37</f>
        <v>0</v>
      </c>
      <c r="AO19" t="str">
        <f>Reagents!$C$45</f>
        <v>-</v>
      </c>
      <c r="AP19">
        <f>Reagents!$D$45</f>
        <v>0</v>
      </c>
      <c r="AQ19">
        <f>Reagents!$J$45</f>
        <v>0</v>
      </c>
      <c r="AR19">
        <f>'Plate Planning'!$K$18</f>
        <v>0</v>
      </c>
      <c r="AS19">
        <f>'Plate Planning'!$L$18</f>
        <v>0</v>
      </c>
      <c r="AT19">
        <f>'Uncorrected Area Counts'!G21</f>
        <v>0</v>
      </c>
      <c r="AU19" t="e">
        <f>Yields!E21</f>
        <v>#DIV/0!</v>
      </c>
      <c r="AV19">
        <f>'Plate Planning'!$K$19</f>
        <v>0</v>
      </c>
      <c r="AW19">
        <f>'Plate Planning'!$L$19</f>
        <v>0</v>
      </c>
      <c r="AX19">
        <f>'Uncorrected Area Counts'!H21</f>
        <v>0</v>
      </c>
      <c r="AY19" t="e">
        <f>Yields!F21</f>
        <v>#DIV/0!</v>
      </c>
      <c r="AZ19">
        <f>'Plate Planning'!$K$20</f>
        <v>0</v>
      </c>
      <c r="BA19">
        <f>'Plate Planning'!$L$20</f>
        <v>0</v>
      </c>
      <c r="BB19">
        <f>'Uncorrected Area Counts'!I21</f>
        <v>0</v>
      </c>
      <c r="BC19" t="e">
        <f>Yields!G21</f>
        <v>#DIV/0!</v>
      </c>
      <c r="BD19">
        <f>'Plate Planning'!$K$21</f>
        <v>0</v>
      </c>
      <c r="BE19">
        <f>'Plate Planning'!$L$21</f>
        <v>0</v>
      </c>
      <c r="BF19">
        <f>'Uncorrected Area Counts'!J21</f>
        <v>0</v>
      </c>
      <c r="BG19" t="e">
        <f>Yields!H21</f>
        <v>#DIV/0!</v>
      </c>
      <c r="BH19">
        <f>'Plate Planning'!$K$22</f>
        <v>0</v>
      </c>
      <c r="BI19">
        <f>'Plate Planning'!$L$22</f>
        <v>0</v>
      </c>
      <c r="BJ19">
        <f>'Uncorrected Area Counts'!K21</f>
        <v>0</v>
      </c>
      <c r="BK19" t="e">
        <f>Yields!I21</f>
        <v>#DIV/0!</v>
      </c>
      <c r="BL19">
        <f>'Plate Planning'!$K$23</f>
        <v>0</v>
      </c>
      <c r="BM19">
        <f>'Plate Planning'!$L$23</f>
        <v>0</v>
      </c>
      <c r="BN19">
        <f>'Uncorrected Area Counts'!L21</f>
        <v>0</v>
      </c>
      <c r="BO19" t="e">
        <f>Yields!J21</f>
        <v>#DIV/0!</v>
      </c>
      <c r="BP19">
        <f>'Plate Planning'!$K$24</f>
        <v>0</v>
      </c>
      <c r="BQ19">
        <f>'Plate Planning'!$L$24</f>
        <v>0</v>
      </c>
      <c r="BR19">
        <f>'Uncorrected Area Counts'!M21</f>
        <v>0</v>
      </c>
      <c r="BS19" t="e">
        <f>Yields!K21</f>
        <v>#DIV/0!</v>
      </c>
      <c r="BT19">
        <f>'Plate Planning'!$L$17</f>
        <v>0</v>
      </c>
      <c r="BU19">
        <f>'Plate Planning'!$M$17</f>
        <v>0</v>
      </c>
      <c r="BV19">
        <f>'Uncorrected Area Counts'!F21</f>
        <v>0</v>
      </c>
    </row>
    <row r="20" spans="1:74">
      <c r="A20" s="1">
        <v>19</v>
      </c>
      <c r="B20" s="1">
        <v>7</v>
      </c>
      <c r="C20" s="1">
        <v>2</v>
      </c>
      <c r="D20" s="1">
        <f>'Plate Planning'!$H$16</f>
        <v>0</v>
      </c>
      <c r="E20" s="1" t="str">
        <f>'Plate Planning'!$H$17</f>
        <v>LC-MS</v>
      </c>
      <c r="F20" s="1">
        <f>'Plate Planning'!$H$18</f>
        <v>500</v>
      </c>
      <c r="G20" s="1">
        <f>'Plate Planning'!$H$20</f>
        <v>25</v>
      </c>
      <c r="H20" s="1">
        <f>'Plate Planning'!$H$19</f>
        <v>24</v>
      </c>
      <c r="I20" s="1" t="b">
        <f>'Plate Planning'!$H$21</f>
        <v>1</v>
      </c>
      <c r="J20" s="1" t="str">
        <f>IF('Plate Planning'!$H$22=0, "NA",'Plate Planning'!$H$22)</f>
        <v>NA</v>
      </c>
      <c r="K20" s="1">
        <f>Reagents!$D$2</f>
        <v>0</v>
      </c>
      <c r="L20" s="1">
        <f>Reagents!$D$2</f>
        <v>0</v>
      </c>
      <c r="M20" s="1">
        <f>Reagents!$J$2</f>
        <v>0</v>
      </c>
      <c r="N20" s="1">
        <f>Reagents!$D$3</f>
        <v>0</v>
      </c>
      <c r="O20" s="1">
        <f>Reagents!$J$3</f>
        <v>0</v>
      </c>
      <c r="P20" s="1">
        <f>Reagents!$D$4</f>
        <v>0</v>
      </c>
      <c r="Q20" s="1">
        <f>Reagents!$J$4</f>
        <v>0</v>
      </c>
      <c r="R20" s="1">
        <f>Reagents!$D$5</f>
        <v>0</v>
      </c>
      <c r="S20" s="1">
        <f>Reagents!$J$5</f>
        <v>0</v>
      </c>
      <c r="T20" s="1">
        <f>Reagents!$D$6</f>
        <v>0</v>
      </c>
      <c r="U20" s="1">
        <f>Reagents!$J$6</f>
        <v>0</v>
      </c>
      <c r="V20" s="1">
        <f>Reagents!$D$7</f>
        <v>0</v>
      </c>
      <c r="W20" s="1">
        <f>Reagents!$J$7</f>
        <v>0</v>
      </c>
      <c r="X20" s="1">
        <f>Reagents!$D$8</f>
        <v>0</v>
      </c>
      <c r="Y20" s="1">
        <f>Reagents!$J$8</f>
        <v>0</v>
      </c>
      <c r="Z20" s="1">
        <f>Reagents!$D$9</f>
        <v>0</v>
      </c>
      <c r="AA20" s="1">
        <f>Reagents!$J$9</f>
        <v>0</v>
      </c>
      <c r="AB20" s="1">
        <f>Reagents!$D$10</f>
        <v>0</v>
      </c>
      <c r="AC20" s="1">
        <f>Reagents!$J$10</f>
        <v>0</v>
      </c>
      <c r="AD20" s="1">
        <f>Reagents!$D$11</f>
        <v>0</v>
      </c>
      <c r="AE20" s="1">
        <f>Reagents!$J$11</f>
        <v>0</v>
      </c>
      <c r="AF20" t="str">
        <f>Reagents!$C$18</f>
        <v>-</v>
      </c>
      <c r="AG20">
        <f>Reagents!$D$18</f>
        <v>0</v>
      </c>
      <c r="AH20">
        <f>Reagents!$J$18</f>
        <v>0</v>
      </c>
      <c r="AI20" t="str">
        <f>Reagents!$C$30</f>
        <v>-</v>
      </c>
      <c r="AJ20">
        <f>Reagents!$D$30</f>
        <v>0</v>
      </c>
      <c r="AK20">
        <f>Reagents!$J$30</f>
        <v>0</v>
      </c>
      <c r="AL20" t="str">
        <f>Reagents!$C$37</f>
        <v>-</v>
      </c>
      <c r="AM20">
        <f>Reagents!$D$37</f>
        <v>0</v>
      </c>
      <c r="AN20">
        <f>Reagents!$J$37</f>
        <v>0</v>
      </c>
      <c r="AO20" t="str">
        <f>Reagents!$C$45</f>
        <v>-</v>
      </c>
      <c r="AP20">
        <f>Reagents!$D$45</f>
        <v>0</v>
      </c>
      <c r="AQ20">
        <f>Reagents!$J$45</f>
        <v>0</v>
      </c>
      <c r="AR20">
        <f>'Plate Planning'!$K$18</f>
        <v>0</v>
      </c>
      <c r="AS20">
        <f>'Plate Planning'!$L$18</f>
        <v>0</v>
      </c>
      <c r="AT20">
        <f>'Uncorrected Area Counts'!G22</f>
        <v>0</v>
      </c>
      <c r="AU20" t="e">
        <f>Yields!E22</f>
        <v>#DIV/0!</v>
      </c>
      <c r="AV20">
        <f>'Plate Planning'!$K$19</f>
        <v>0</v>
      </c>
      <c r="AW20">
        <f>'Plate Planning'!$L$19</f>
        <v>0</v>
      </c>
      <c r="AX20">
        <f>'Uncorrected Area Counts'!H22</f>
        <v>0</v>
      </c>
      <c r="AY20" t="e">
        <f>Yields!F22</f>
        <v>#DIV/0!</v>
      </c>
      <c r="AZ20">
        <f>'Plate Planning'!$K$20</f>
        <v>0</v>
      </c>
      <c r="BA20">
        <f>'Plate Planning'!$L$20</f>
        <v>0</v>
      </c>
      <c r="BB20">
        <f>'Uncorrected Area Counts'!I22</f>
        <v>0</v>
      </c>
      <c r="BC20" t="e">
        <f>Yields!G22</f>
        <v>#DIV/0!</v>
      </c>
      <c r="BD20">
        <f>'Plate Planning'!$K$21</f>
        <v>0</v>
      </c>
      <c r="BE20">
        <f>'Plate Planning'!$L$21</f>
        <v>0</v>
      </c>
      <c r="BF20">
        <f>'Uncorrected Area Counts'!J22</f>
        <v>0</v>
      </c>
      <c r="BG20" t="e">
        <f>Yields!H22</f>
        <v>#DIV/0!</v>
      </c>
      <c r="BH20">
        <f>'Plate Planning'!$K$22</f>
        <v>0</v>
      </c>
      <c r="BI20">
        <f>'Plate Planning'!$L$22</f>
        <v>0</v>
      </c>
      <c r="BJ20">
        <f>'Uncorrected Area Counts'!K22</f>
        <v>0</v>
      </c>
      <c r="BK20" t="e">
        <f>Yields!I22</f>
        <v>#DIV/0!</v>
      </c>
      <c r="BL20">
        <f>'Plate Planning'!$K$23</f>
        <v>0</v>
      </c>
      <c r="BM20">
        <f>'Plate Planning'!$L$23</f>
        <v>0</v>
      </c>
      <c r="BN20">
        <f>'Uncorrected Area Counts'!L22</f>
        <v>0</v>
      </c>
      <c r="BO20" t="e">
        <f>Yields!J22</f>
        <v>#DIV/0!</v>
      </c>
      <c r="BP20">
        <f>'Plate Planning'!$K$24</f>
        <v>0</v>
      </c>
      <c r="BQ20">
        <f>'Plate Planning'!$L$24</f>
        <v>0</v>
      </c>
      <c r="BR20">
        <f>'Uncorrected Area Counts'!M22</f>
        <v>0</v>
      </c>
      <c r="BS20" t="e">
        <f>Yields!K22</f>
        <v>#DIV/0!</v>
      </c>
      <c r="BT20">
        <f>'Plate Planning'!$L$17</f>
        <v>0</v>
      </c>
      <c r="BU20">
        <f>'Plate Planning'!$M$17</f>
        <v>0</v>
      </c>
      <c r="BV20">
        <f>'Uncorrected Area Counts'!F22</f>
        <v>0</v>
      </c>
    </row>
    <row r="21" spans="1:74">
      <c r="A21" s="1">
        <v>20</v>
      </c>
      <c r="B21" s="1">
        <v>8</v>
      </c>
      <c r="C21" s="1">
        <v>2</v>
      </c>
      <c r="D21" s="1">
        <f>'Plate Planning'!$H$16</f>
        <v>0</v>
      </c>
      <c r="E21" s="1" t="str">
        <f>'Plate Planning'!$H$17</f>
        <v>LC-MS</v>
      </c>
      <c r="F21" s="1">
        <f>'Plate Planning'!$H$18</f>
        <v>500</v>
      </c>
      <c r="G21" s="1">
        <f>'Plate Planning'!$H$20</f>
        <v>25</v>
      </c>
      <c r="H21" s="1">
        <f>'Plate Planning'!$H$19</f>
        <v>24</v>
      </c>
      <c r="I21" s="1" t="b">
        <f>'Plate Planning'!$H$21</f>
        <v>1</v>
      </c>
      <c r="J21" s="1" t="str">
        <f>IF('Plate Planning'!$H$22=0, "NA",'Plate Planning'!$H$22)</f>
        <v>NA</v>
      </c>
      <c r="K21" s="1">
        <f>Reagents!$D$2</f>
        <v>0</v>
      </c>
      <c r="L21" s="1">
        <f>Reagents!$D$2</f>
        <v>0</v>
      </c>
      <c r="M21" s="1">
        <f>Reagents!$J$2</f>
        <v>0</v>
      </c>
      <c r="N21" s="1">
        <f>Reagents!$D$3</f>
        <v>0</v>
      </c>
      <c r="O21" s="1">
        <f>Reagents!$J$3</f>
        <v>0</v>
      </c>
      <c r="P21" s="1">
        <f>Reagents!$D$4</f>
        <v>0</v>
      </c>
      <c r="Q21" s="1">
        <f>Reagents!$J$4</f>
        <v>0</v>
      </c>
      <c r="R21" s="1">
        <f>Reagents!$D$5</f>
        <v>0</v>
      </c>
      <c r="S21" s="1">
        <f>Reagents!$J$5</f>
        <v>0</v>
      </c>
      <c r="T21" s="1">
        <f>Reagents!$D$6</f>
        <v>0</v>
      </c>
      <c r="U21" s="1">
        <f>Reagents!$J$6</f>
        <v>0</v>
      </c>
      <c r="V21" s="1">
        <f>Reagents!$D$7</f>
        <v>0</v>
      </c>
      <c r="W21" s="1">
        <f>Reagents!$J$7</f>
        <v>0</v>
      </c>
      <c r="X21" s="1">
        <f>Reagents!$D$8</f>
        <v>0</v>
      </c>
      <c r="Y21" s="1">
        <f>Reagents!$J$8</f>
        <v>0</v>
      </c>
      <c r="Z21" s="1">
        <f>Reagents!$D$9</f>
        <v>0</v>
      </c>
      <c r="AA21" s="1">
        <f>Reagents!$J$9</f>
        <v>0</v>
      </c>
      <c r="AB21" s="1">
        <f>Reagents!$D$10</f>
        <v>0</v>
      </c>
      <c r="AC21" s="1">
        <f>Reagents!$J$10</f>
        <v>0</v>
      </c>
      <c r="AD21" s="1">
        <f>Reagents!$D$11</f>
        <v>0</v>
      </c>
      <c r="AE21" s="1">
        <f>Reagents!$J$11</f>
        <v>0</v>
      </c>
      <c r="AF21" t="str">
        <f>Reagents!$C$19</f>
        <v>-</v>
      </c>
      <c r="AG21">
        <f>Reagents!$D$19</f>
        <v>0</v>
      </c>
      <c r="AH21">
        <f>Reagents!$J$19</f>
        <v>0</v>
      </c>
      <c r="AI21" t="str">
        <f>Reagents!$C$31</f>
        <v>-</v>
      </c>
      <c r="AJ21">
        <f>Reagents!$D$31</f>
        <v>0</v>
      </c>
      <c r="AK21">
        <f>Reagents!$J$31</f>
        <v>0</v>
      </c>
      <c r="AL21" t="str">
        <f>Reagents!$C$37</f>
        <v>-</v>
      </c>
      <c r="AM21">
        <f>Reagents!$D$37</f>
        <v>0</v>
      </c>
      <c r="AN21">
        <f>Reagents!$J$37</f>
        <v>0</v>
      </c>
      <c r="AO21" t="str">
        <f>Reagents!$C$45</f>
        <v>-</v>
      </c>
      <c r="AP21">
        <f>Reagents!$D$45</f>
        <v>0</v>
      </c>
      <c r="AQ21">
        <f>Reagents!$J$45</f>
        <v>0</v>
      </c>
      <c r="AR21">
        <f>'Plate Planning'!$K$18</f>
        <v>0</v>
      </c>
      <c r="AS21">
        <f>'Plate Planning'!$L$18</f>
        <v>0</v>
      </c>
      <c r="AT21">
        <f>'Uncorrected Area Counts'!G23</f>
        <v>0</v>
      </c>
      <c r="AU21" t="e">
        <f>Yields!E23</f>
        <v>#DIV/0!</v>
      </c>
      <c r="AV21">
        <f>'Plate Planning'!$K$19</f>
        <v>0</v>
      </c>
      <c r="AW21">
        <f>'Plate Planning'!$L$19</f>
        <v>0</v>
      </c>
      <c r="AX21">
        <f>'Uncorrected Area Counts'!H23</f>
        <v>0</v>
      </c>
      <c r="AY21" t="e">
        <f>Yields!F23</f>
        <v>#DIV/0!</v>
      </c>
      <c r="AZ21">
        <f>'Plate Planning'!$K$20</f>
        <v>0</v>
      </c>
      <c r="BA21">
        <f>'Plate Planning'!$L$20</f>
        <v>0</v>
      </c>
      <c r="BB21">
        <f>'Uncorrected Area Counts'!I23</f>
        <v>0</v>
      </c>
      <c r="BC21" t="e">
        <f>Yields!G23</f>
        <v>#DIV/0!</v>
      </c>
      <c r="BD21">
        <f>'Plate Planning'!$K$21</f>
        <v>0</v>
      </c>
      <c r="BE21">
        <f>'Plate Planning'!$L$21</f>
        <v>0</v>
      </c>
      <c r="BF21">
        <f>'Uncorrected Area Counts'!J23</f>
        <v>0</v>
      </c>
      <c r="BG21" t="e">
        <f>Yields!H23</f>
        <v>#DIV/0!</v>
      </c>
      <c r="BH21">
        <f>'Plate Planning'!$K$22</f>
        <v>0</v>
      </c>
      <c r="BI21">
        <f>'Plate Planning'!$L$22</f>
        <v>0</v>
      </c>
      <c r="BJ21">
        <f>'Uncorrected Area Counts'!K23</f>
        <v>0</v>
      </c>
      <c r="BK21" t="e">
        <f>Yields!I23</f>
        <v>#DIV/0!</v>
      </c>
      <c r="BL21">
        <f>'Plate Planning'!$K$23</f>
        <v>0</v>
      </c>
      <c r="BM21">
        <f>'Plate Planning'!$L$23</f>
        <v>0</v>
      </c>
      <c r="BN21">
        <f>'Uncorrected Area Counts'!L23</f>
        <v>0</v>
      </c>
      <c r="BO21" t="e">
        <f>Yields!J23</f>
        <v>#DIV/0!</v>
      </c>
      <c r="BP21">
        <f>'Plate Planning'!$K$24</f>
        <v>0</v>
      </c>
      <c r="BQ21">
        <f>'Plate Planning'!$L$24</f>
        <v>0</v>
      </c>
      <c r="BR21">
        <f>'Uncorrected Area Counts'!M23</f>
        <v>0</v>
      </c>
      <c r="BS21" t="e">
        <f>Yields!K23</f>
        <v>#DIV/0!</v>
      </c>
      <c r="BT21">
        <f>'Plate Planning'!$L$17</f>
        <v>0</v>
      </c>
      <c r="BU21">
        <f>'Plate Planning'!$M$17</f>
        <v>0</v>
      </c>
      <c r="BV21">
        <f>'Uncorrected Area Counts'!F23</f>
        <v>0</v>
      </c>
    </row>
    <row r="22" spans="1:74">
      <c r="A22" s="1">
        <v>21</v>
      </c>
      <c r="B22" s="1">
        <v>9</v>
      </c>
      <c r="C22" s="1">
        <v>2</v>
      </c>
      <c r="D22" s="1">
        <f>'Plate Planning'!$H$16</f>
        <v>0</v>
      </c>
      <c r="E22" s="1" t="str">
        <f>'Plate Planning'!$H$17</f>
        <v>LC-MS</v>
      </c>
      <c r="F22" s="1">
        <f>'Plate Planning'!$H$18</f>
        <v>500</v>
      </c>
      <c r="G22" s="1">
        <f>'Plate Planning'!$H$20</f>
        <v>25</v>
      </c>
      <c r="H22" s="1">
        <f>'Plate Planning'!$H$19</f>
        <v>24</v>
      </c>
      <c r="I22" s="1" t="b">
        <f>'Plate Planning'!$H$21</f>
        <v>1</v>
      </c>
      <c r="J22" s="1" t="str">
        <f>IF('Plate Planning'!$H$22=0, "NA",'Plate Planning'!$H$22)</f>
        <v>NA</v>
      </c>
      <c r="K22" s="1">
        <f>Reagents!$D$2</f>
        <v>0</v>
      </c>
      <c r="L22" s="1">
        <f>Reagents!$D$2</f>
        <v>0</v>
      </c>
      <c r="M22" s="1">
        <f>Reagents!$J$2</f>
        <v>0</v>
      </c>
      <c r="N22" s="1">
        <f>Reagents!$D$3</f>
        <v>0</v>
      </c>
      <c r="O22" s="1">
        <f>Reagents!$J$3</f>
        <v>0</v>
      </c>
      <c r="P22" s="1">
        <f>Reagents!$D$4</f>
        <v>0</v>
      </c>
      <c r="Q22" s="1">
        <f>Reagents!$J$4</f>
        <v>0</v>
      </c>
      <c r="R22" s="1">
        <f>Reagents!$D$5</f>
        <v>0</v>
      </c>
      <c r="S22" s="1">
        <f>Reagents!$J$5</f>
        <v>0</v>
      </c>
      <c r="T22" s="1">
        <f>Reagents!$D$6</f>
        <v>0</v>
      </c>
      <c r="U22" s="1">
        <f>Reagents!$J$6</f>
        <v>0</v>
      </c>
      <c r="V22" s="1">
        <f>Reagents!$D$7</f>
        <v>0</v>
      </c>
      <c r="W22" s="1">
        <f>Reagents!$J$7</f>
        <v>0</v>
      </c>
      <c r="X22" s="1">
        <f>Reagents!$D$8</f>
        <v>0</v>
      </c>
      <c r="Y22" s="1">
        <f>Reagents!$J$8</f>
        <v>0</v>
      </c>
      <c r="Z22" s="1">
        <f>Reagents!$D$9</f>
        <v>0</v>
      </c>
      <c r="AA22" s="1">
        <f>Reagents!$J$9</f>
        <v>0</v>
      </c>
      <c r="AB22" s="1">
        <f>Reagents!$D$10</f>
        <v>0</v>
      </c>
      <c r="AC22" s="1">
        <f>Reagents!$J$10</f>
        <v>0</v>
      </c>
      <c r="AD22" s="1">
        <f>Reagents!$D$11</f>
        <v>0</v>
      </c>
      <c r="AE22" s="1">
        <f>Reagents!$J$11</f>
        <v>0</v>
      </c>
      <c r="AF22" t="str">
        <f>Reagents!$C$20</f>
        <v>-</v>
      </c>
      <c r="AG22">
        <f>Reagents!$D$20</f>
        <v>0</v>
      </c>
      <c r="AH22">
        <f>Reagents!$J$20</f>
        <v>0</v>
      </c>
      <c r="AI22" t="str">
        <f>Reagents!$C$32</f>
        <v>-</v>
      </c>
      <c r="AJ22">
        <f>Reagents!$D$32</f>
        <v>0</v>
      </c>
      <c r="AK22">
        <f>Reagents!$J$32</f>
        <v>0</v>
      </c>
      <c r="AL22" t="str">
        <f>Reagents!$C$37</f>
        <v>-</v>
      </c>
      <c r="AM22">
        <f>Reagents!$D$37</f>
        <v>0</v>
      </c>
      <c r="AN22">
        <f>Reagents!$J$37</f>
        <v>0</v>
      </c>
      <c r="AO22" t="str">
        <f>Reagents!$C$45</f>
        <v>-</v>
      </c>
      <c r="AP22">
        <f>Reagents!$D$45</f>
        <v>0</v>
      </c>
      <c r="AQ22">
        <f>Reagents!$J$45</f>
        <v>0</v>
      </c>
      <c r="AR22">
        <f>'Plate Planning'!$K$18</f>
        <v>0</v>
      </c>
      <c r="AS22">
        <f>'Plate Planning'!$L$18</f>
        <v>0</v>
      </c>
      <c r="AT22">
        <f>'Uncorrected Area Counts'!G24</f>
        <v>0</v>
      </c>
      <c r="AU22" t="e">
        <f>Yields!E24</f>
        <v>#DIV/0!</v>
      </c>
      <c r="AV22">
        <f>'Plate Planning'!$K$19</f>
        <v>0</v>
      </c>
      <c r="AW22">
        <f>'Plate Planning'!$L$19</f>
        <v>0</v>
      </c>
      <c r="AX22">
        <f>'Uncorrected Area Counts'!H24</f>
        <v>0</v>
      </c>
      <c r="AY22" t="e">
        <f>Yields!F24</f>
        <v>#DIV/0!</v>
      </c>
      <c r="AZ22">
        <f>'Plate Planning'!$K$20</f>
        <v>0</v>
      </c>
      <c r="BA22">
        <f>'Plate Planning'!$L$20</f>
        <v>0</v>
      </c>
      <c r="BB22">
        <f>'Uncorrected Area Counts'!I24</f>
        <v>0</v>
      </c>
      <c r="BC22" t="e">
        <f>Yields!G24</f>
        <v>#DIV/0!</v>
      </c>
      <c r="BD22">
        <f>'Plate Planning'!$K$21</f>
        <v>0</v>
      </c>
      <c r="BE22">
        <f>'Plate Planning'!$L$21</f>
        <v>0</v>
      </c>
      <c r="BF22">
        <f>'Uncorrected Area Counts'!J24</f>
        <v>0</v>
      </c>
      <c r="BG22" t="e">
        <f>Yields!H24</f>
        <v>#DIV/0!</v>
      </c>
      <c r="BH22">
        <f>'Plate Planning'!$K$22</f>
        <v>0</v>
      </c>
      <c r="BI22">
        <f>'Plate Planning'!$L$22</f>
        <v>0</v>
      </c>
      <c r="BJ22">
        <f>'Uncorrected Area Counts'!K24</f>
        <v>0</v>
      </c>
      <c r="BK22" t="e">
        <f>Yields!I24</f>
        <v>#DIV/0!</v>
      </c>
      <c r="BL22">
        <f>'Plate Planning'!$K$23</f>
        <v>0</v>
      </c>
      <c r="BM22">
        <f>'Plate Planning'!$L$23</f>
        <v>0</v>
      </c>
      <c r="BN22">
        <f>'Uncorrected Area Counts'!L24</f>
        <v>0</v>
      </c>
      <c r="BO22" t="e">
        <f>Yields!J24</f>
        <v>#DIV/0!</v>
      </c>
      <c r="BP22">
        <f>'Plate Planning'!$K$24</f>
        <v>0</v>
      </c>
      <c r="BQ22">
        <f>'Plate Planning'!$L$24</f>
        <v>0</v>
      </c>
      <c r="BR22">
        <f>'Uncorrected Area Counts'!M24</f>
        <v>0</v>
      </c>
      <c r="BS22" t="e">
        <f>Yields!K24</f>
        <v>#DIV/0!</v>
      </c>
      <c r="BT22">
        <f>'Plate Planning'!$L$17</f>
        <v>0</v>
      </c>
      <c r="BU22">
        <f>'Plate Planning'!$M$17</f>
        <v>0</v>
      </c>
      <c r="BV22">
        <f>'Uncorrected Area Counts'!F24</f>
        <v>0</v>
      </c>
    </row>
    <row r="23" spans="1:74">
      <c r="A23" s="1">
        <v>22</v>
      </c>
      <c r="B23" s="1">
        <v>10</v>
      </c>
      <c r="C23" s="1">
        <v>2</v>
      </c>
      <c r="D23" s="1">
        <f>'Plate Planning'!$H$16</f>
        <v>0</v>
      </c>
      <c r="E23" s="1" t="str">
        <f>'Plate Planning'!$H$17</f>
        <v>LC-MS</v>
      </c>
      <c r="F23" s="1">
        <f>'Plate Planning'!$H$18</f>
        <v>500</v>
      </c>
      <c r="G23" s="1">
        <f>'Plate Planning'!$H$20</f>
        <v>25</v>
      </c>
      <c r="H23" s="1">
        <f>'Plate Planning'!$H$19</f>
        <v>24</v>
      </c>
      <c r="I23" s="1" t="b">
        <f>'Plate Planning'!$H$21</f>
        <v>1</v>
      </c>
      <c r="J23" s="1" t="str">
        <f>IF('Plate Planning'!$H$22=0, "NA",'Plate Planning'!$H$22)</f>
        <v>NA</v>
      </c>
      <c r="K23" s="1">
        <f>Reagents!$D$2</f>
        <v>0</v>
      </c>
      <c r="L23" s="1">
        <f>Reagents!$D$2</f>
        <v>0</v>
      </c>
      <c r="M23" s="1">
        <f>Reagents!$J$2</f>
        <v>0</v>
      </c>
      <c r="N23" s="1">
        <f>Reagents!$D$3</f>
        <v>0</v>
      </c>
      <c r="O23" s="1">
        <f>Reagents!$J$3</f>
        <v>0</v>
      </c>
      <c r="P23" s="1">
        <f>Reagents!$D$4</f>
        <v>0</v>
      </c>
      <c r="Q23" s="1">
        <f>Reagents!$J$4</f>
        <v>0</v>
      </c>
      <c r="R23" s="1">
        <f>Reagents!$D$5</f>
        <v>0</v>
      </c>
      <c r="S23" s="1">
        <f>Reagents!$J$5</f>
        <v>0</v>
      </c>
      <c r="T23" s="1">
        <f>Reagents!$D$6</f>
        <v>0</v>
      </c>
      <c r="U23" s="1">
        <f>Reagents!$J$6</f>
        <v>0</v>
      </c>
      <c r="V23" s="1">
        <f>Reagents!$D$7</f>
        <v>0</v>
      </c>
      <c r="W23" s="1">
        <f>Reagents!$J$7</f>
        <v>0</v>
      </c>
      <c r="X23" s="1">
        <f>Reagents!$D$8</f>
        <v>0</v>
      </c>
      <c r="Y23" s="1">
        <f>Reagents!$J$8</f>
        <v>0</v>
      </c>
      <c r="Z23" s="1">
        <f>Reagents!$D$9</f>
        <v>0</v>
      </c>
      <c r="AA23" s="1">
        <f>Reagents!$J$9</f>
        <v>0</v>
      </c>
      <c r="AB23" s="1">
        <f>Reagents!$D$10</f>
        <v>0</v>
      </c>
      <c r="AC23" s="1">
        <f>Reagents!$J$10</f>
        <v>0</v>
      </c>
      <c r="AD23" s="1">
        <f>Reagents!$D$11</f>
        <v>0</v>
      </c>
      <c r="AE23" s="1">
        <f>Reagents!$J$11</f>
        <v>0</v>
      </c>
      <c r="AF23" t="str">
        <f>Reagents!$C$21</f>
        <v>-</v>
      </c>
      <c r="AG23">
        <f>Reagents!$D$21</f>
        <v>0</v>
      </c>
      <c r="AH23">
        <f>Reagents!$J$21</f>
        <v>0</v>
      </c>
      <c r="AI23" t="str">
        <f>Reagents!$C$33</f>
        <v>-</v>
      </c>
      <c r="AJ23">
        <f>Reagents!$D$33</f>
        <v>0</v>
      </c>
      <c r="AK23">
        <f>Reagents!$J$33</f>
        <v>0</v>
      </c>
      <c r="AL23" t="str">
        <f>Reagents!$C$37</f>
        <v>-</v>
      </c>
      <c r="AM23">
        <f>Reagents!$D$37</f>
        <v>0</v>
      </c>
      <c r="AN23">
        <f>Reagents!$J$37</f>
        <v>0</v>
      </c>
      <c r="AO23" t="str">
        <f>Reagents!$C$45</f>
        <v>-</v>
      </c>
      <c r="AP23">
        <f>Reagents!$D$45</f>
        <v>0</v>
      </c>
      <c r="AQ23">
        <f>Reagents!$J$45</f>
        <v>0</v>
      </c>
      <c r="AR23">
        <f>'Plate Planning'!$K$18</f>
        <v>0</v>
      </c>
      <c r="AS23">
        <f>'Plate Planning'!$L$18</f>
        <v>0</v>
      </c>
      <c r="AT23">
        <f>'Uncorrected Area Counts'!G25</f>
        <v>0</v>
      </c>
      <c r="AU23" t="e">
        <f>Yields!E25</f>
        <v>#DIV/0!</v>
      </c>
      <c r="AV23">
        <f>'Plate Planning'!$K$19</f>
        <v>0</v>
      </c>
      <c r="AW23">
        <f>'Plate Planning'!$L$19</f>
        <v>0</v>
      </c>
      <c r="AX23">
        <f>'Uncorrected Area Counts'!H25</f>
        <v>0</v>
      </c>
      <c r="AY23" t="e">
        <f>Yields!F25</f>
        <v>#DIV/0!</v>
      </c>
      <c r="AZ23">
        <f>'Plate Planning'!$K$20</f>
        <v>0</v>
      </c>
      <c r="BA23">
        <f>'Plate Planning'!$L$20</f>
        <v>0</v>
      </c>
      <c r="BB23">
        <f>'Uncorrected Area Counts'!I25</f>
        <v>0</v>
      </c>
      <c r="BC23" t="e">
        <f>Yields!G25</f>
        <v>#DIV/0!</v>
      </c>
      <c r="BD23">
        <f>'Plate Planning'!$K$21</f>
        <v>0</v>
      </c>
      <c r="BE23">
        <f>'Plate Planning'!$L$21</f>
        <v>0</v>
      </c>
      <c r="BF23">
        <f>'Uncorrected Area Counts'!J25</f>
        <v>0</v>
      </c>
      <c r="BG23" t="e">
        <f>Yields!H25</f>
        <v>#DIV/0!</v>
      </c>
      <c r="BH23">
        <f>'Plate Planning'!$K$22</f>
        <v>0</v>
      </c>
      <c r="BI23">
        <f>'Plate Planning'!$L$22</f>
        <v>0</v>
      </c>
      <c r="BJ23">
        <f>'Uncorrected Area Counts'!K25</f>
        <v>0</v>
      </c>
      <c r="BK23" t="e">
        <f>Yields!I25</f>
        <v>#DIV/0!</v>
      </c>
      <c r="BL23">
        <f>'Plate Planning'!$K$23</f>
        <v>0</v>
      </c>
      <c r="BM23">
        <f>'Plate Planning'!$L$23</f>
        <v>0</v>
      </c>
      <c r="BN23">
        <f>'Uncorrected Area Counts'!L25</f>
        <v>0</v>
      </c>
      <c r="BO23" t="e">
        <f>Yields!J25</f>
        <v>#DIV/0!</v>
      </c>
      <c r="BP23">
        <f>'Plate Planning'!$K$24</f>
        <v>0</v>
      </c>
      <c r="BQ23">
        <f>'Plate Planning'!$L$24</f>
        <v>0</v>
      </c>
      <c r="BR23">
        <f>'Uncorrected Area Counts'!M25</f>
        <v>0</v>
      </c>
      <c r="BS23" t="e">
        <f>Yields!K25</f>
        <v>#DIV/0!</v>
      </c>
      <c r="BT23">
        <f>'Plate Planning'!$L$17</f>
        <v>0</v>
      </c>
      <c r="BU23">
        <f>'Plate Planning'!$M$17</f>
        <v>0</v>
      </c>
      <c r="BV23">
        <f>'Uncorrected Area Counts'!F25</f>
        <v>0</v>
      </c>
    </row>
    <row r="24" spans="1:74">
      <c r="A24" s="1">
        <v>23</v>
      </c>
      <c r="B24" s="1">
        <v>11</v>
      </c>
      <c r="C24" s="1">
        <v>2</v>
      </c>
      <c r="D24" s="1">
        <f>'Plate Planning'!$H$16</f>
        <v>0</v>
      </c>
      <c r="E24" s="1" t="str">
        <f>'Plate Planning'!$H$17</f>
        <v>LC-MS</v>
      </c>
      <c r="F24" s="1">
        <f>'Plate Planning'!$H$18</f>
        <v>500</v>
      </c>
      <c r="G24" s="1">
        <f>'Plate Planning'!$H$20</f>
        <v>25</v>
      </c>
      <c r="H24" s="1">
        <f>'Plate Planning'!$H$19</f>
        <v>24</v>
      </c>
      <c r="I24" s="1" t="b">
        <f>'Plate Planning'!$H$21</f>
        <v>1</v>
      </c>
      <c r="J24" s="1" t="str">
        <f>IF('Plate Planning'!$H$22=0, "NA",'Plate Planning'!$H$22)</f>
        <v>NA</v>
      </c>
      <c r="K24" s="1">
        <f>Reagents!$D$2</f>
        <v>0</v>
      </c>
      <c r="L24" s="1">
        <f>Reagents!$D$2</f>
        <v>0</v>
      </c>
      <c r="M24" s="1">
        <f>Reagents!$J$2</f>
        <v>0</v>
      </c>
      <c r="N24" s="1">
        <f>Reagents!$D$3</f>
        <v>0</v>
      </c>
      <c r="O24" s="1">
        <f>Reagents!$J$3</f>
        <v>0</v>
      </c>
      <c r="P24" s="1">
        <f>Reagents!$D$4</f>
        <v>0</v>
      </c>
      <c r="Q24" s="1">
        <f>Reagents!$J$4</f>
        <v>0</v>
      </c>
      <c r="R24" s="1">
        <f>Reagents!$D$5</f>
        <v>0</v>
      </c>
      <c r="S24" s="1">
        <f>Reagents!$J$5</f>
        <v>0</v>
      </c>
      <c r="T24" s="1">
        <f>Reagents!$D$6</f>
        <v>0</v>
      </c>
      <c r="U24" s="1">
        <f>Reagents!$J$6</f>
        <v>0</v>
      </c>
      <c r="V24" s="1">
        <f>Reagents!$D$7</f>
        <v>0</v>
      </c>
      <c r="W24" s="1">
        <f>Reagents!$J$7</f>
        <v>0</v>
      </c>
      <c r="X24" s="1">
        <f>Reagents!$D$8</f>
        <v>0</v>
      </c>
      <c r="Y24" s="1">
        <f>Reagents!$J$8</f>
        <v>0</v>
      </c>
      <c r="Z24" s="1">
        <f>Reagents!$D$9</f>
        <v>0</v>
      </c>
      <c r="AA24" s="1">
        <f>Reagents!$J$9</f>
        <v>0</v>
      </c>
      <c r="AB24" s="1">
        <f>Reagents!$D$10</f>
        <v>0</v>
      </c>
      <c r="AC24" s="1">
        <f>Reagents!$J$10</f>
        <v>0</v>
      </c>
      <c r="AD24" s="1">
        <f>Reagents!$D$11</f>
        <v>0</v>
      </c>
      <c r="AE24" s="1">
        <f>Reagents!$J$11</f>
        <v>0</v>
      </c>
      <c r="AF24" t="str">
        <f>Reagents!$C$22</f>
        <v>-</v>
      </c>
      <c r="AG24">
        <f>Reagents!$D$22</f>
        <v>0</v>
      </c>
      <c r="AH24">
        <f>Reagents!$J$22</f>
        <v>0</v>
      </c>
      <c r="AI24" t="str">
        <f>Reagents!$C$34</f>
        <v>-</v>
      </c>
      <c r="AJ24">
        <f>Reagents!$D$34</f>
        <v>0</v>
      </c>
      <c r="AK24">
        <f>Reagents!$J$34</f>
        <v>0</v>
      </c>
      <c r="AL24" t="str">
        <f>Reagents!$C$37</f>
        <v>-</v>
      </c>
      <c r="AM24">
        <f>Reagents!$D$37</f>
        <v>0</v>
      </c>
      <c r="AN24">
        <f>Reagents!$J$37</f>
        <v>0</v>
      </c>
      <c r="AO24" t="str">
        <f>Reagents!$C$45</f>
        <v>-</v>
      </c>
      <c r="AP24">
        <f>Reagents!$D$45</f>
        <v>0</v>
      </c>
      <c r="AQ24">
        <f>Reagents!$J$45</f>
        <v>0</v>
      </c>
      <c r="AR24">
        <f>'Plate Planning'!$K$18</f>
        <v>0</v>
      </c>
      <c r="AS24">
        <f>'Plate Planning'!$L$18</f>
        <v>0</v>
      </c>
      <c r="AT24">
        <f>'Uncorrected Area Counts'!G26</f>
        <v>0</v>
      </c>
      <c r="AU24" t="e">
        <f>Yields!E26</f>
        <v>#DIV/0!</v>
      </c>
      <c r="AV24">
        <f>'Plate Planning'!$K$19</f>
        <v>0</v>
      </c>
      <c r="AW24">
        <f>'Plate Planning'!$L$19</f>
        <v>0</v>
      </c>
      <c r="AX24">
        <f>'Uncorrected Area Counts'!H26</f>
        <v>0</v>
      </c>
      <c r="AY24" t="e">
        <f>Yields!F26</f>
        <v>#DIV/0!</v>
      </c>
      <c r="AZ24">
        <f>'Plate Planning'!$K$20</f>
        <v>0</v>
      </c>
      <c r="BA24">
        <f>'Plate Planning'!$L$20</f>
        <v>0</v>
      </c>
      <c r="BB24">
        <f>'Uncorrected Area Counts'!I26</f>
        <v>0</v>
      </c>
      <c r="BC24" t="e">
        <f>Yields!G26</f>
        <v>#DIV/0!</v>
      </c>
      <c r="BD24">
        <f>'Plate Planning'!$K$21</f>
        <v>0</v>
      </c>
      <c r="BE24">
        <f>'Plate Planning'!$L$21</f>
        <v>0</v>
      </c>
      <c r="BF24">
        <f>'Uncorrected Area Counts'!J26</f>
        <v>0</v>
      </c>
      <c r="BG24" t="e">
        <f>Yields!H26</f>
        <v>#DIV/0!</v>
      </c>
      <c r="BH24">
        <f>'Plate Planning'!$K$22</f>
        <v>0</v>
      </c>
      <c r="BI24">
        <f>'Plate Planning'!$L$22</f>
        <v>0</v>
      </c>
      <c r="BJ24">
        <f>'Uncorrected Area Counts'!K26</f>
        <v>0</v>
      </c>
      <c r="BK24" t="e">
        <f>Yields!I26</f>
        <v>#DIV/0!</v>
      </c>
      <c r="BL24">
        <f>'Plate Planning'!$K$23</f>
        <v>0</v>
      </c>
      <c r="BM24">
        <f>'Plate Planning'!$L$23</f>
        <v>0</v>
      </c>
      <c r="BN24">
        <f>'Uncorrected Area Counts'!L26</f>
        <v>0</v>
      </c>
      <c r="BO24" t="e">
        <f>Yields!J26</f>
        <v>#DIV/0!</v>
      </c>
      <c r="BP24">
        <f>'Plate Planning'!$K$24</f>
        <v>0</v>
      </c>
      <c r="BQ24">
        <f>'Plate Planning'!$L$24</f>
        <v>0</v>
      </c>
      <c r="BR24">
        <f>'Uncorrected Area Counts'!M26</f>
        <v>0</v>
      </c>
      <c r="BS24" t="e">
        <f>Yields!K26</f>
        <v>#DIV/0!</v>
      </c>
      <c r="BT24">
        <f>'Plate Planning'!$L$17</f>
        <v>0</v>
      </c>
      <c r="BU24">
        <f>'Plate Planning'!$M$17</f>
        <v>0</v>
      </c>
      <c r="BV24">
        <f>'Uncorrected Area Counts'!F26</f>
        <v>0</v>
      </c>
    </row>
    <row r="25" spans="1:74">
      <c r="A25" s="1">
        <v>24</v>
      </c>
      <c r="B25" s="1">
        <v>12</v>
      </c>
      <c r="C25" s="1">
        <v>2</v>
      </c>
      <c r="D25" s="1">
        <f>'Plate Planning'!$H$16</f>
        <v>0</v>
      </c>
      <c r="E25" s="1" t="str">
        <f>'Plate Planning'!$H$17</f>
        <v>LC-MS</v>
      </c>
      <c r="F25" s="1">
        <f>'Plate Planning'!$H$18</f>
        <v>500</v>
      </c>
      <c r="G25" s="1">
        <f>'Plate Planning'!$H$20</f>
        <v>25</v>
      </c>
      <c r="H25" s="1">
        <f>'Plate Planning'!$H$19</f>
        <v>24</v>
      </c>
      <c r="I25" s="1" t="b">
        <f>'Plate Planning'!$H$21</f>
        <v>1</v>
      </c>
      <c r="J25" s="1" t="str">
        <f>IF('Plate Planning'!$H$22=0, "NA",'Plate Planning'!$H$22)</f>
        <v>NA</v>
      </c>
      <c r="K25" s="1">
        <f>Reagents!$D$2</f>
        <v>0</v>
      </c>
      <c r="L25" s="1">
        <f>Reagents!$D$2</f>
        <v>0</v>
      </c>
      <c r="M25" s="1">
        <f>Reagents!$J$2</f>
        <v>0</v>
      </c>
      <c r="N25" s="1">
        <f>Reagents!$D$3</f>
        <v>0</v>
      </c>
      <c r="O25" s="1">
        <f>Reagents!$J$3</f>
        <v>0</v>
      </c>
      <c r="P25" s="1">
        <f>Reagents!$D$4</f>
        <v>0</v>
      </c>
      <c r="Q25" s="1">
        <f>Reagents!$J$4</f>
        <v>0</v>
      </c>
      <c r="R25" s="1">
        <f>Reagents!$D$5</f>
        <v>0</v>
      </c>
      <c r="S25" s="1">
        <f>Reagents!$J$5</f>
        <v>0</v>
      </c>
      <c r="T25" s="1">
        <f>Reagents!$D$6</f>
        <v>0</v>
      </c>
      <c r="U25" s="1">
        <f>Reagents!$J$6</f>
        <v>0</v>
      </c>
      <c r="V25" s="1">
        <f>Reagents!$D$7</f>
        <v>0</v>
      </c>
      <c r="W25" s="1">
        <f>Reagents!$J$7</f>
        <v>0</v>
      </c>
      <c r="X25" s="1">
        <f>Reagents!$D$8</f>
        <v>0</v>
      </c>
      <c r="Y25" s="1">
        <f>Reagents!$J$8</f>
        <v>0</v>
      </c>
      <c r="Z25" s="1">
        <f>Reagents!$D$9</f>
        <v>0</v>
      </c>
      <c r="AA25" s="1">
        <f>Reagents!$J$9</f>
        <v>0</v>
      </c>
      <c r="AB25" s="1">
        <f>Reagents!$D$10</f>
        <v>0</v>
      </c>
      <c r="AC25" s="1">
        <f>Reagents!$J$10</f>
        <v>0</v>
      </c>
      <c r="AD25" s="1">
        <f>Reagents!$D$11</f>
        <v>0</v>
      </c>
      <c r="AE25" s="1">
        <f>Reagents!$J$11</f>
        <v>0</v>
      </c>
      <c r="AF25" t="str">
        <f>Reagents!$C$23</f>
        <v>-</v>
      </c>
      <c r="AG25">
        <f>Reagents!$D$23</f>
        <v>0</v>
      </c>
      <c r="AH25">
        <f>Reagents!$J$23</f>
        <v>0</v>
      </c>
      <c r="AI25" t="str">
        <f>Reagents!$C$35</f>
        <v>-</v>
      </c>
      <c r="AJ25">
        <f>Reagents!$D$35</f>
        <v>0</v>
      </c>
      <c r="AK25">
        <f>Reagents!$J$35</f>
        <v>0</v>
      </c>
      <c r="AL25" t="str">
        <f>Reagents!$C$37</f>
        <v>-</v>
      </c>
      <c r="AM25">
        <f>Reagents!$D$37</f>
        <v>0</v>
      </c>
      <c r="AN25">
        <f>Reagents!$J$37</f>
        <v>0</v>
      </c>
      <c r="AO25" t="str">
        <f>Reagents!$C$45</f>
        <v>-</v>
      </c>
      <c r="AP25">
        <f>Reagents!$D$45</f>
        <v>0</v>
      </c>
      <c r="AQ25">
        <f>Reagents!$J$45</f>
        <v>0</v>
      </c>
      <c r="AR25">
        <f>'Plate Planning'!$K$18</f>
        <v>0</v>
      </c>
      <c r="AS25">
        <f>'Plate Planning'!$L$18</f>
        <v>0</v>
      </c>
      <c r="AT25">
        <f>'Uncorrected Area Counts'!G27</f>
        <v>0</v>
      </c>
      <c r="AU25" t="e">
        <f>Yields!E27</f>
        <v>#DIV/0!</v>
      </c>
      <c r="AV25">
        <f>'Plate Planning'!$K$19</f>
        <v>0</v>
      </c>
      <c r="AW25">
        <f>'Plate Planning'!$L$19</f>
        <v>0</v>
      </c>
      <c r="AX25">
        <f>'Uncorrected Area Counts'!H27</f>
        <v>0</v>
      </c>
      <c r="AY25" t="e">
        <f>Yields!F27</f>
        <v>#DIV/0!</v>
      </c>
      <c r="AZ25">
        <f>'Plate Planning'!$K$20</f>
        <v>0</v>
      </c>
      <c r="BA25">
        <f>'Plate Planning'!$L$20</f>
        <v>0</v>
      </c>
      <c r="BB25">
        <f>'Uncorrected Area Counts'!I27</f>
        <v>0</v>
      </c>
      <c r="BC25" t="e">
        <f>Yields!G27</f>
        <v>#DIV/0!</v>
      </c>
      <c r="BD25">
        <f>'Plate Planning'!$K$21</f>
        <v>0</v>
      </c>
      <c r="BE25">
        <f>'Plate Planning'!$L$21</f>
        <v>0</v>
      </c>
      <c r="BF25">
        <f>'Uncorrected Area Counts'!J27</f>
        <v>0</v>
      </c>
      <c r="BG25" t="e">
        <f>Yields!H27</f>
        <v>#DIV/0!</v>
      </c>
      <c r="BH25">
        <f>'Plate Planning'!$K$22</f>
        <v>0</v>
      </c>
      <c r="BI25">
        <f>'Plate Planning'!$L$22</f>
        <v>0</v>
      </c>
      <c r="BJ25">
        <f>'Uncorrected Area Counts'!K27</f>
        <v>0</v>
      </c>
      <c r="BK25" t="e">
        <f>Yields!I27</f>
        <v>#DIV/0!</v>
      </c>
      <c r="BL25">
        <f>'Plate Planning'!$K$23</f>
        <v>0</v>
      </c>
      <c r="BM25">
        <f>'Plate Planning'!$L$23</f>
        <v>0</v>
      </c>
      <c r="BN25">
        <f>'Uncorrected Area Counts'!L27</f>
        <v>0</v>
      </c>
      <c r="BO25" t="e">
        <f>Yields!J27</f>
        <v>#DIV/0!</v>
      </c>
      <c r="BP25">
        <f>'Plate Planning'!$K$24</f>
        <v>0</v>
      </c>
      <c r="BQ25">
        <f>'Plate Planning'!$L$24</f>
        <v>0</v>
      </c>
      <c r="BR25">
        <f>'Uncorrected Area Counts'!M27</f>
        <v>0</v>
      </c>
      <c r="BS25" t="e">
        <f>Yields!K27</f>
        <v>#DIV/0!</v>
      </c>
      <c r="BT25">
        <f>'Plate Planning'!$L$17</f>
        <v>0</v>
      </c>
      <c r="BU25">
        <f>'Plate Planning'!$M$17</f>
        <v>0</v>
      </c>
      <c r="BV25">
        <f>'Uncorrected Area Counts'!F27</f>
        <v>0</v>
      </c>
    </row>
    <row r="26" spans="1:74">
      <c r="A26" s="1">
        <v>25</v>
      </c>
      <c r="B26" s="1">
        <v>1</v>
      </c>
      <c r="C26" s="1">
        <v>3</v>
      </c>
      <c r="D26" s="1">
        <f>'Plate Planning'!$H$16</f>
        <v>0</v>
      </c>
      <c r="E26" s="1" t="str">
        <f>'Plate Planning'!$H$17</f>
        <v>LC-MS</v>
      </c>
      <c r="F26" s="1">
        <f>'Plate Planning'!$H$18</f>
        <v>500</v>
      </c>
      <c r="G26" s="1">
        <f>'Plate Planning'!$H$20</f>
        <v>25</v>
      </c>
      <c r="H26" s="1">
        <f>'Plate Planning'!$H$19</f>
        <v>24</v>
      </c>
      <c r="I26" s="1" t="b">
        <f>'Plate Planning'!$H$21</f>
        <v>1</v>
      </c>
      <c r="J26" s="1" t="str">
        <f>IF('Plate Planning'!$H$22=0, "NA",'Plate Planning'!$H$22)</f>
        <v>NA</v>
      </c>
      <c r="K26" s="1">
        <f>Reagents!$D$2</f>
        <v>0</v>
      </c>
      <c r="L26" s="1">
        <f>Reagents!$D$2</f>
        <v>0</v>
      </c>
      <c r="M26" s="1">
        <f>Reagents!$J$2</f>
        <v>0</v>
      </c>
      <c r="N26" s="1">
        <f>Reagents!$D$3</f>
        <v>0</v>
      </c>
      <c r="O26" s="1">
        <f>Reagents!$J$3</f>
        <v>0</v>
      </c>
      <c r="P26" s="1">
        <f>Reagents!$D$4</f>
        <v>0</v>
      </c>
      <c r="Q26" s="1">
        <f>Reagents!$J$4</f>
        <v>0</v>
      </c>
      <c r="R26" s="1">
        <f>Reagents!$D$5</f>
        <v>0</v>
      </c>
      <c r="S26" s="1">
        <f>Reagents!$J$5</f>
        <v>0</v>
      </c>
      <c r="T26" s="1">
        <f>Reagents!$D$6</f>
        <v>0</v>
      </c>
      <c r="U26" s="1">
        <f>Reagents!$J$6</f>
        <v>0</v>
      </c>
      <c r="V26" s="1">
        <f>Reagents!$D$7</f>
        <v>0</v>
      </c>
      <c r="W26" s="1">
        <f>Reagents!$J$7</f>
        <v>0</v>
      </c>
      <c r="X26" s="1">
        <f>Reagents!$D$8</f>
        <v>0</v>
      </c>
      <c r="Y26" s="1">
        <f>Reagents!$J$8</f>
        <v>0</v>
      </c>
      <c r="Z26" s="1">
        <f>Reagents!$D$9</f>
        <v>0</v>
      </c>
      <c r="AA26" s="1">
        <f>Reagents!$J$9</f>
        <v>0</v>
      </c>
      <c r="AB26" s="1">
        <f>Reagents!$D$10</f>
        <v>0</v>
      </c>
      <c r="AC26" s="1">
        <f>Reagents!$J$10</f>
        <v>0</v>
      </c>
      <c r="AD26" s="1">
        <f>Reagents!$D$11</f>
        <v>0</v>
      </c>
      <c r="AE26" s="1">
        <f>Reagents!$J$11</f>
        <v>0</v>
      </c>
      <c r="AF26" t="str">
        <f>Reagents!$C$12</f>
        <v>-</v>
      </c>
      <c r="AG26">
        <f>Reagents!$D$12</f>
        <v>0</v>
      </c>
      <c r="AH26">
        <f>Reagents!$J$12</f>
        <v>0</v>
      </c>
      <c r="AI26" t="str">
        <f>Reagents!$C$24</f>
        <v>-</v>
      </c>
      <c r="AJ26">
        <f>Reagents!$D$24</f>
        <v>0</v>
      </c>
      <c r="AK26">
        <f>Reagents!$J$24</f>
        <v>0</v>
      </c>
      <c r="AL26" t="str">
        <f>Reagents!$C$38</f>
        <v>-</v>
      </c>
      <c r="AM26">
        <f>Reagents!$D$38</f>
        <v>0</v>
      </c>
      <c r="AN26">
        <f>Reagents!$J$38</f>
        <v>0</v>
      </c>
      <c r="AO26" t="str">
        <f>Reagents!$C$46</f>
        <v>-</v>
      </c>
      <c r="AP26">
        <f>Reagents!$D$46</f>
        <v>0</v>
      </c>
      <c r="AQ26">
        <f>Reagents!$J$46</f>
        <v>0</v>
      </c>
      <c r="AR26">
        <f>'Plate Planning'!$K$18</f>
        <v>0</v>
      </c>
      <c r="AS26">
        <f>'Plate Planning'!$L$18</f>
        <v>0</v>
      </c>
      <c r="AT26">
        <f>'Uncorrected Area Counts'!G28</f>
        <v>0</v>
      </c>
      <c r="AU26" t="e">
        <f>Yields!E28</f>
        <v>#DIV/0!</v>
      </c>
      <c r="AV26">
        <f>'Plate Planning'!$K$19</f>
        <v>0</v>
      </c>
      <c r="AW26">
        <f>'Plate Planning'!$L$19</f>
        <v>0</v>
      </c>
      <c r="AX26">
        <f>'Uncorrected Area Counts'!H28</f>
        <v>0</v>
      </c>
      <c r="AY26" t="e">
        <f>Yields!F28</f>
        <v>#DIV/0!</v>
      </c>
      <c r="AZ26">
        <f>'Plate Planning'!$K$20</f>
        <v>0</v>
      </c>
      <c r="BA26">
        <f>'Plate Planning'!$L$20</f>
        <v>0</v>
      </c>
      <c r="BB26">
        <f>'Uncorrected Area Counts'!I28</f>
        <v>0</v>
      </c>
      <c r="BC26" t="e">
        <f>Yields!G28</f>
        <v>#DIV/0!</v>
      </c>
      <c r="BD26">
        <f>'Plate Planning'!$K$21</f>
        <v>0</v>
      </c>
      <c r="BE26">
        <f>'Plate Planning'!$L$21</f>
        <v>0</v>
      </c>
      <c r="BF26">
        <f>'Uncorrected Area Counts'!J28</f>
        <v>0</v>
      </c>
      <c r="BG26" t="e">
        <f>Yields!H28</f>
        <v>#DIV/0!</v>
      </c>
      <c r="BH26">
        <f>'Plate Planning'!$K$22</f>
        <v>0</v>
      </c>
      <c r="BI26">
        <f>'Plate Planning'!$L$22</f>
        <v>0</v>
      </c>
      <c r="BJ26">
        <f>'Uncorrected Area Counts'!K28</f>
        <v>0</v>
      </c>
      <c r="BK26" t="e">
        <f>Yields!I28</f>
        <v>#DIV/0!</v>
      </c>
      <c r="BL26">
        <f>'Plate Planning'!$K$23</f>
        <v>0</v>
      </c>
      <c r="BM26">
        <f>'Plate Planning'!$L$23</f>
        <v>0</v>
      </c>
      <c r="BN26">
        <f>'Uncorrected Area Counts'!L28</f>
        <v>0</v>
      </c>
      <c r="BO26" t="e">
        <f>Yields!J28</f>
        <v>#DIV/0!</v>
      </c>
      <c r="BP26">
        <f>'Plate Planning'!$K$24</f>
        <v>0</v>
      </c>
      <c r="BQ26">
        <f>'Plate Planning'!$L$24</f>
        <v>0</v>
      </c>
      <c r="BR26">
        <f>'Uncorrected Area Counts'!M28</f>
        <v>0</v>
      </c>
      <c r="BS26" t="e">
        <f>Yields!K28</f>
        <v>#DIV/0!</v>
      </c>
      <c r="BT26">
        <f>'Plate Planning'!$L$17</f>
        <v>0</v>
      </c>
      <c r="BU26">
        <f>'Plate Planning'!$M$17</f>
        <v>0</v>
      </c>
      <c r="BV26">
        <f>'Uncorrected Area Counts'!F28</f>
        <v>0</v>
      </c>
    </row>
    <row r="27" spans="1:74">
      <c r="A27" s="1">
        <v>26</v>
      </c>
      <c r="B27" s="1">
        <v>2</v>
      </c>
      <c r="C27" s="1">
        <v>3</v>
      </c>
      <c r="D27" s="1">
        <f>'Plate Planning'!$H$16</f>
        <v>0</v>
      </c>
      <c r="E27" s="1" t="str">
        <f>'Plate Planning'!$H$17</f>
        <v>LC-MS</v>
      </c>
      <c r="F27" s="1">
        <f>'Plate Planning'!$H$18</f>
        <v>500</v>
      </c>
      <c r="G27" s="1">
        <f>'Plate Planning'!$H$20</f>
        <v>25</v>
      </c>
      <c r="H27" s="1">
        <f>'Plate Planning'!$H$19</f>
        <v>24</v>
      </c>
      <c r="I27" s="1" t="b">
        <f>'Plate Planning'!$H$21</f>
        <v>1</v>
      </c>
      <c r="J27" s="1" t="str">
        <f>IF('Plate Planning'!$H$22=0, "NA",'Plate Planning'!$H$22)</f>
        <v>NA</v>
      </c>
      <c r="K27" s="1">
        <f>Reagents!$D$2</f>
        <v>0</v>
      </c>
      <c r="L27" s="1">
        <f>Reagents!$D$2</f>
        <v>0</v>
      </c>
      <c r="M27" s="1">
        <f>Reagents!$J$2</f>
        <v>0</v>
      </c>
      <c r="N27" s="1">
        <f>Reagents!$D$3</f>
        <v>0</v>
      </c>
      <c r="O27" s="1">
        <f>Reagents!$J$3</f>
        <v>0</v>
      </c>
      <c r="P27" s="1">
        <f>Reagents!$D$4</f>
        <v>0</v>
      </c>
      <c r="Q27" s="1">
        <f>Reagents!$J$4</f>
        <v>0</v>
      </c>
      <c r="R27" s="1">
        <f>Reagents!$D$5</f>
        <v>0</v>
      </c>
      <c r="S27" s="1">
        <f>Reagents!$J$5</f>
        <v>0</v>
      </c>
      <c r="T27" s="1">
        <f>Reagents!$D$6</f>
        <v>0</v>
      </c>
      <c r="U27" s="1">
        <f>Reagents!$J$6</f>
        <v>0</v>
      </c>
      <c r="V27" s="1">
        <f>Reagents!$D$7</f>
        <v>0</v>
      </c>
      <c r="W27" s="1">
        <f>Reagents!$J$7</f>
        <v>0</v>
      </c>
      <c r="X27" s="1">
        <f>Reagents!$D$8</f>
        <v>0</v>
      </c>
      <c r="Y27" s="1">
        <f>Reagents!$J$8</f>
        <v>0</v>
      </c>
      <c r="Z27" s="1">
        <f>Reagents!$D$9</f>
        <v>0</v>
      </c>
      <c r="AA27" s="1">
        <f>Reagents!$J$9</f>
        <v>0</v>
      </c>
      <c r="AB27" s="1">
        <f>Reagents!$D$10</f>
        <v>0</v>
      </c>
      <c r="AC27" s="1">
        <f>Reagents!$J$10</f>
        <v>0</v>
      </c>
      <c r="AD27" s="1">
        <f>Reagents!$D$11</f>
        <v>0</v>
      </c>
      <c r="AE27" s="1">
        <f>Reagents!$J$11</f>
        <v>0</v>
      </c>
      <c r="AF27" t="str">
        <f>Reagents!$C$13</f>
        <v>-</v>
      </c>
      <c r="AG27">
        <f>Reagents!$D$13</f>
        <v>0</v>
      </c>
      <c r="AH27">
        <f>Reagents!$J$13</f>
        <v>0</v>
      </c>
      <c r="AI27" t="str">
        <f>Reagents!$C$25</f>
        <v>-</v>
      </c>
      <c r="AJ27">
        <f>Reagents!$D$25</f>
        <v>0</v>
      </c>
      <c r="AK27">
        <f>Reagents!$J$25</f>
        <v>0</v>
      </c>
      <c r="AL27" t="str">
        <f>Reagents!$C$38</f>
        <v>-</v>
      </c>
      <c r="AM27">
        <f>Reagents!$D$38</f>
        <v>0</v>
      </c>
      <c r="AN27">
        <f>Reagents!$J$38</f>
        <v>0</v>
      </c>
      <c r="AO27" t="str">
        <f>Reagents!$C$46</f>
        <v>-</v>
      </c>
      <c r="AP27">
        <f>Reagents!$D$46</f>
        <v>0</v>
      </c>
      <c r="AQ27">
        <f>Reagents!$J$46</f>
        <v>0</v>
      </c>
      <c r="AR27">
        <f>'Plate Planning'!$K$18</f>
        <v>0</v>
      </c>
      <c r="AS27">
        <f>'Plate Planning'!$L$18</f>
        <v>0</v>
      </c>
      <c r="AT27">
        <f>'Uncorrected Area Counts'!G29</f>
        <v>0</v>
      </c>
      <c r="AU27" t="e">
        <f>Yields!E29</f>
        <v>#DIV/0!</v>
      </c>
      <c r="AV27">
        <f>'Plate Planning'!$K$19</f>
        <v>0</v>
      </c>
      <c r="AW27">
        <f>'Plate Planning'!$L$19</f>
        <v>0</v>
      </c>
      <c r="AX27">
        <f>'Uncorrected Area Counts'!H29</f>
        <v>0</v>
      </c>
      <c r="AY27" t="e">
        <f>Yields!F29</f>
        <v>#DIV/0!</v>
      </c>
      <c r="AZ27">
        <f>'Plate Planning'!$K$20</f>
        <v>0</v>
      </c>
      <c r="BA27">
        <f>'Plate Planning'!$L$20</f>
        <v>0</v>
      </c>
      <c r="BB27">
        <f>'Uncorrected Area Counts'!I29</f>
        <v>0</v>
      </c>
      <c r="BC27" t="e">
        <f>Yields!G29</f>
        <v>#DIV/0!</v>
      </c>
      <c r="BD27">
        <f>'Plate Planning'!$K$21</f>
        <v>0</v>
      </c>
      <c r="BE27">
        <f>'Plate Planning'!$L$21</f>
        <v>0</v>
      </c>
      <c r="BF27">
        <f>'Uncorrected Area Counts'!J29</f>
        <v>0</v>
      </c>
      <c r="BG27" t="e">
        <f>Yields!H29</f>
        <v>#DIV/0!</v>
      </c>
      <c r="BH27">
        <f>'Plate Planning'!$K$22</f>
        <v>0</v>
      </c>
      <c r="BI27">
        <f>'Plate Planning'!$L$22</f>
        <v>0</v>
      </c>
      <c r="BJ27">
        <f>'Uncorrected Area Counts'!K29</f>
        <v>0</v>
      </c>
      <c r="BK27" t="e">
        <f>Yields!I29</f>
        <v>#DIV/0!</v>
      </c>
      <c r="BL27">
        <f>'Plate Planning'!$K$23</f>
        <v>0</v>
      </c>
      <c r="BM27">
        <f>'Plate Planning'!$L$23</f>
        <v>0</v>
      </c>
      <c r="BN27">
        <f>'Uncorrected Area Counts'!L29</f>
        <v>0</v>
      </c>
      <c r="BO27" t="e">
        <f>Yields!J29</f>
        <v>#DIV/0!</v>
      </c>
      <c r="BP27">
        <f>'Plate Planning'!$K$24</f>
        <v>0</v>
      </c>
      <c r="BQ27">
        <f>'Plate Planning'!$L$24</f>
        <v>0</v>
      </c>
      <c r="BR27">
        <f>'Uncorrected Area Counts'!M29</f>
        <v>0</v>
      </c>
      <c r="BS27" t="e">
        <f>Yields!K29</f>
        <v>#DIV/0!</v>
      </c>
      <c r="BT27">
        <f>'Plate Planning'!$L$17</f>
        <v>0</v>
      </c>
      <c r="BU27">
        <f>'Plate Planning'!$M$17</f>
        <v>0</v>
      </c>
      <c r="BV27">
        <f>'Uncorrected Area Counts'!F29</f>
        <v>0</v>
      </c>
    </row>
    <row r="28" spans="1:74">
      <c r="A28" s="1">
        <v>27</v>
      </c>
      <c r="B28" s="1">
        <v>3</v>
      </c>
      <c r="C28" s="1">
        <v>3</v>
      </c>
      <c r="D28" s="1">
        <f>'Plate Planning'!$H$16</f>
        <v>0</v>
      </c>
      <c r="E28" s="1" t="str">
        <f>'Plate Planning'!$H$17</f>
        <v>LC-MS</v>
      </c>
      <c r="F28" s="1">
        <f>'Plate Planning'!$H$18</f>
        <v>500</v>
      </c>
      <c r="G28" s="1">
        <f>'Plate Planning'!$H$20</f>
        <v>25</v>
      </c>
      <c r="H28" s="1">
        <f>'Plate Planning'!$H$19</f>
        <v>24</v>
      </c>
      <c r="I28" s="1" t="b">
        <f>'Plate Planning'!$H$21</f>
        <v>1</v>
      </c>
      <c r="J28" s="1" t="str">
        <f>IF('Plate Planning'!$H$22=0, "NA",'Plate Planning'!$H$22)</f>
        <v>NA</v>
      </c>
      <c r="K28" s="1">
        <f>Reagents!$D$2</f>
        <v>0</v>
      </c>
      <c r="L28" s="1">
        <f>Reagents!$D$2</f>
        <v>0</v>
      </c>
      <c r="M28" s="1">
        <f>Reagents!$J$2</f>
        <v>0</v>
      </c>
      <c r="N28" s="1">
        <f>Reagents!$D$3</f>
        <v>0</v>
      </c>
      <c r="O28" s="1">
        <f>Reagents!$J$3</f>
        <v>0</v>
      </c>
      <c r="P28" s="1">
        <f>Reagents!$D$4</f>
        <v>0</v>
      </c>
      <c r="Q28" s="1">
        <f>Reagents!$J$4</f>
        <v>0</v>
      </c>
      <c r="R28" s="1">
        <f>Reagents!$D$5</f>
        <v>0</v>
      </c>
      <c r="S28" s="1">
        <f>Reagents!$J$5</f>
        <v>0</v>
      </c>
      <c r="T28" s="1">
        <f>Reagents!$D$6</f>
        <v>0</v>
      </c>
      <c r="U28" s="1">
        <f>Reagents!$J$6</f>
        <v>0</v>
      </c>
      <c r="V28" s="1">
        <f>Reagents!$D$7</f>
        <v>0</v>
      </c>
      <c r="W28" s="1">
        <f>Reagents!$J$7</f>
        <v>0</v>
      </c>
      <c r="X28" s="1">
        <f>Reagents!$D$8</f>
        <v>0</v>
      </c>
      <c r="Y28" s="1">
        <f>Reagents!$J$8</f>
        <v>0</v>
      </c>
      <c r="Z28" s="1">
        <f>Reagents!$D$9</f>
        <v>0</v>
      </c>
      <c r="AA28" s="1">
        <f>Reagents!$J$9</f>
        <v>0</v>
      </c>
      <c r="AB28" s="1">
        <f>Reagents!$D$10</f>
        <v>0</v>
      </c>
      <c r="AC28" s="1">
        <f>Reagents!$J$10</f>
        <v>0</v>
      </c>
      <c r="AD28" s="1">
        <f>Reagents!$D$11</f>
        <v>0</v>
      </c>
      <c r="AE28" s="1">
        <f>Reagents!$J$11</f>
        <v>0</v>
      </c>
      <c r="AF28" t="str">
        <f>Reagents!$C$14</f>
        <v>-</v>
      </c>
      <c r="AG28">
        <f>Reagents!$D$14</f>
        <v>0</v>
      </c>
      <c r="AH28">
        <f>Reagents!$J$14</f>
        <v>0</v>
      </c>
      <c r="AI28" t="str">
        <f>Reagents!$C$26</f>
        <v>-</v>
      </c>
      <c r="AJ28">
        <f>Reagents!$D$26</f>
        <v>0</v>
      </c>
      <c r="AK28">
        <f>Reagents!$J$26</f>
        <v>0</v>
      </c>
      <c r="AL28" t="str">
        <f>Reagents!$C$38</f>
        <v>-</v>
      </c>
      <c r="AM28">
        <f>Reagents!$D$38</f>
        <v>0</v>
      </c>
      <c r="AN28">
        <f>Reagents!$J$38</f>
        <v>0</v>
      </c>
      <c r="AO28" t="str">
        <f>Reagents!$C$46</f>
        <v>-</v>
      </c>
      <c r="AP28">
        <f>Reagents!$D$46</f>
        <v>0</v>
      </c>
      <c r="AQ28">
        <f>Reagents!$J$46</f>
        <v>0</v>
      </c>
      <c r="AR28">
        <f>'Plate Planning'!$K$18</f>
        <v>0</v>
      </c>
      <c r="AS28">
        <f>'Plate Planning'!$L$18</f>
        <v>0</v>
      </c>
      <c r="AT28">
        <f>'Uncorrected Area Counts'!G30</f>
        <v>0</v>
      </c>
      <c r="AU28" t="e">
        <f>Yields!E30</f>
        <v>#DIV/0!</v>
      </c>
      <c r="AV28">
        <f>'Plate Planning'!$K$19</f>
        <v>0</v>
      </c>
      <c r="AW28">
        <f>'Plate Planning'!$L$19</f>
        <v>0</v>
      </c>
      <c r="AX28">
        <f>'Uncorrected Area Counts'!H30</f>
        <v>0</v>
      </c>
      <c r="AY28" t="e">
        <f>Yields!F30</f>
        <v>#DIV/0!</v>
      </c>
      <c r="AZ28">
        <f>'Plate Planning'!$K$20</f>
        <v>0</v>
      </c>
      <c r="BA28">
        <f>'Plate Planning'!$L$20</f>
        <v>0</v>
      </c>
      <c r="BB28">
        <f>'Uncorrected Area Counts'!I30</f>
        <v>0</v>
      </c>
      <c r="BC28" t="e">
        <f>Yields!G30</f>
        <v>#DIV/0!</v>
      </c>
      <c r="BD28">
        <f>'Plate Planning'!$K$21</f>
        <v>0</v>
      </c>
      <c r="BE28">
        <f>'Plate Planning'!$L$21</f>
        <v>0</v>
      </c>
      <c r="BF28">
        <f>'Uncorrected Area Counts'!J30</f>
        <v>0</v>
      </c>
      <c r="BG28" t="e">
        <f>Yields!H30</f>
        <v>#DIV/0!</v>
      </c>
      <c r="BH28">
        <f>'Plate Planning'!$K$22</f>
        <v>0</v>
      </c>
      <c r="BI28">
        <f>'Plate Planning'!$L$22</f>
        <v>0</v>
      </c>
      <c r="BJ28">
        <f>'Uncorrected Area Counts'!K30</f>
        <v>0</v>
      </c>
      <c r="BK28" t="e">
        <f>Yields!I30</f>
        <v>#DIV/0!</v>
      </c>
      <c r="BL28">
        <f>'Plate Planning'!$K$23</f>
        <v>0</v>
      </c>
      <c r="BM28">
        <f>'Plate Planning'!$L$23</f>
        <v>0</v>
      </c>
      <c r="BN28">
        <f>'Uncorrected Area Counts'!L30</f>
        <v>0</v>
      </c>
      <c r="BO28" t="e">
        <f>Yields!J30</f>
        <v>#DIV/0!</v>
      </c>
      <c r="BP28">
        <f>'Plate Planning'!$K$24</f>
        <v>0</v>
      </c>
      <c r="BQ28">
        <f>'Plate Planning'!$L$24</f>
        <v>0</v>
      </c>
      <c r="BR28">
        <f>'Uncorrected Area Counts'!M30</f>
        <v>0</v>
      </c>
      <c r="BS28" t="e">
        <f>Yields!K30</f>
        <v>#DIV/0!</v>
      </c>
      <c r="BT28">
        <f>'Plate Planning'!$L$17</f>
        <v>0</v>
      </c>
      <c r="BU28">
        <f>'Plate Planning'!$M$17</f>
        <v>0</v>
      </c>
      <c r="BV28">
        <f>'Uncorrected Area Counts'!F30</f>
        <v>0</v>
      </c>
    </row>
    <row r="29" spans="1:74">
      <c r="A29" s="1">
        <v>28</v>
      </c>
      <c r="B29" s="1">
        <v>4</v>
      </c>
      <c r="C29" s="1">
        <v>3</v>
      </c>
      <c r="D29" s="1">
        <f>'Plate Planning'!$H$16</f>
        <v>0</v>
      </c>
      <c r="E29" s="1" t="str">
        <f>'Plate Planning'!$H$17</f>
        <v>LC-MS</v>
      </c>
      <c r="F29" s="1">
        <f>'Plate Planning'!$H$18</f>
        <v>500</v>
      </c>
      <c r="G29" s="1">
        <f>'Plate Planning'!$H$20</f>
        <v>25</v>
      </c>
      <c r="H29" s="1">
        <f>'Plate Planning'!$H$19</f>
        <v>24</v>
      </c>
      <c r="I29" s="1" t="b">
        <f>'Plate Planning'!$H$21</f>
        <v>1</v>
      </c>
      <c r="J29" s="1" t="str">
        <f>IF('Plate Planning'!$H$22=0, "NA",'Plate Planning'!$H$22)</f>
        <v>NA</v>
      </c>
      <c r="K29" s="1">
        <f>Reagents!$D$2</f>
        <v>0</v>
      </c>
      <c r="L29" s="1">
        <f>Reagents!$D$2</f>
        <v>0</v>
      </c>
      <c r="M29" s="1">
        <f>Reagents!$J$2</f>
        <v>0</v>
      </c>
      <c r="N29" s="1">
        <f>Reagents!$D$3</f>
        <v>0</v>
      </c>
      <c r="O29" s="1">
        <f>Reagents!$J$3</f>
        <v>0</v>
      </c>
      <c r="P29" s="1">
        <f>Reagents!$D$4</f>
        <v>0</v>
      </c>
      <c r="Q29" s="1">
        <f>Reagents!$J$4</f>
        <v>0</v>
      </c>
      <c r="R29" s="1">
        <f>Reagents!$D$5</f>
        <v>0</v>
      </c>
      <c r="S29" s="1">
        <f>Reagents!$J$5</f>
        <v>0</v>
      </c>
      <c r="T29" s="1">
        <f>Reagents!$D$6</f>
        <v>0</v>
      </c>
      <c r="U29" s="1">
        <f>Reagents!$J$6</f>
        <v>0</v>
      </c>
      <c r="V29" s="1">
        <f>Reagents!$D$7</f>
        <v>0</v>
      </c>
      <c r="W29" s="1">
        <f>Reagents!$J$7</f>
        <v>0</v>
      </c>
      <c r="X29" s="1">
        <f>Reagents!$D$8</f>
        <v>0</v>
      </c>
      <c r="Y29" s="1">
        <f>Reagents!$J$8</f>
        <v>0</v>
      </c>
      <c r="Z29" s="1">
        <f>Reagents!$D$9</f>
        <v>0</v>
      </c>
      <c r="AA29" s="1">
        <f>Reagents!$J$9</f>
        <v>0</v>
      </c>
      <c r="AB29" s="1">
        <f>Reagents!$D$10</f>
        <v>0</v>
      </c>
      <c r="AC29" s="1">
        <f>Reagents!$J$10</f>
        <v>0</v>
      </c>
      <c r="AD29" s="1">
        <f>Reagents!$D$11</f>
        <v>0</v>
      </c>
      <c r="AE29" s="1">
        <f>Reagents!$J$11</f>
        <v>0</v>
      </c>
      <c r="AF29" t="str">
        <f>Reagents!$C$15</f>
        <v>-</v>
      </c>
      <c r="AG29">
        <f>Reagents!$D$15</f>
        <v>0</v>
      </c>
      <c r="AH29">
        <f>Reagents!$J$15</f>
        <v>0</v>
      </c>
      <c r="AI29" t="str">
        <f>Reagents!$C$27</f>
        <v>-</v>
      </c>
      <c r="AJ29">
        <f>Reagents!$D$27</f>
        <v>0</v>
      </c>
      <c r="AK29">
        <f>Reagents!$J$27</f>
        <v>0</v>
      </c>
      <c r="AL29" t="str">
        <f>Reagents!$C$38</f>
        <v>-</v>
      </c>
      <c r="AM29">
        <f>Reagents!$D$38</f>
        <v>0</v>
      </c>
      <c r="AN29">
        <f>Reagents!$J$38</f>
        <v>0</v>
      </c>
      <c r="AO29" t="str">
        <f>Reagents!$C$46</f>
        <v>-</v>
      </c>
      <c r="AP29">
        <f>Reagents!$D$46</f>
        <v>0</v>
      </c>
      <c r="AQ29">
        <f>Reagents!$J$46</f>
        <v>0</v>
      </c>
      <c r="AR29">
        <f>'Plate Planning'!$K$18</f>
        <v>0</v>
      </c>
      <c r="AS29">
        <f>'Plate Planning'!$L$18</f>
        <v>0</v>
      </c>
      <c r="AT29">
        <f>'Uncorrected Area Counts'!G31</f>
        <v>0</v>
      </c>
      <c r="AU29" t="e">
        <f>Yields!E31</f>
        <v>#DIV/0!</v>
      </c>
      <c r="AV29">
        <f>'Plate Planning'!$K$19</f>
        <v>0</v>
      </c>
      <c r="AW29">
        <f>'Plate Planning'!$L$19</f>
        <v>0</v>
      </c>
      <c r="AX29">
        <f>'Uncorrected Area Counts'!H31</f>
        <v>0</v>
      </c>
      <c r="AY29" t="e">
        <f>Yields!F31</f>
        <v>#DIV/0!</v>
      </c>
      <c r="AZ29">
        <f>'Plate Planning'!$K$20</f>
        <v>0</v>
      </c>
      <c r="BA29">
        <f>'Plate Planning'!$L$20</f>
        <v>0</v>
      </c>
      <c r="BB29">
        <f>'Uncorrected Area Counts'!I31</f>
        <v>0</v>
      </c>
      <c r="BC29" t="e">
        <f>Yields!G31</f>
        <v>#DIV/0!</v>
      </c>
      <c r="BD29">
        <f>'Plate Planning'!$K$21</f>
        <v>0</v>
      </c>
      <c r="BE29">
        <f>'Plate Planning'!$L$21</f>
        <v>0</v>
      </c>
      <c r="BF29">
        <f>'Uncorrected Area Counts'!J31</f>
        <v>0</v>
      </c>
      <c r="BG29" t="e">
        <f>Yields!H31</f>
        <v>#DIV/0!</v>
      </c>
      <c r="BH29">
        <f>'Plate Planning'!$K$22</f>
        <v>0</v>
      </c>
      <c r="BI29">
        <f>'Plate Planning'!$L$22</f>
        <v>0</v>
      </c>
      <c r="BJ29">
        <f>'Uncorrected Area Counts'!K31</f>
        <v>0</v>
      </c>
      <c r="BK29" t="e">
        <f>Yields!I31</f>
        <v>#DIV/0!</v>
      </c>
      <c r="BL29">
        <f>'Plate Planning'!$K$23</f>
        <v>0</v>
      </c>
      <c r="BM29">
        <f>'Plate Planning'!$L$23</f>
        <v>0</v>
      </c>
      <c r="BN29">
        <f>'Uncorrected Area Counts'!L31</f>
        <v>0</v>
      </c>
      <c r="BO29" t="e">
        <f>Yields!J31</f>
        <v>#DIV/0!</v>
      </c>
      <c r="BP29">
        <f>'Plate Planning'!$K$24</f>
        <v>0</v>
      </c>
      <c r="BQ29">
        <f>'Plate Planning'!$L$24</f>
        <v>0</v>
      </c>
      <c r="BR29">
        <f>'Uncorrected Area Counts'!M31</f>
        <v>0</v>
      </c>
      <c r="BS29" t="e">
        <f>Yields!K31</f>
        <v>#DIV/0!</v>
      </c>
      <c r="BT29">
        <f>'Plate Planning'!$L$17</f>
        <v>0</v>
      </c>
      <c r="BU29">
        <f>'Plate Planning'!$M$17</f>
        <v>0</v>
      </c>
      <c r="BV29">
        <f>'Uncorrected Area Counts'!F31</f>
        <v>0</v>
      </c>
    </row>
    <row r="30" spans="1:74">
      <c r="A30" s="1">
        <v>29</v>
      </c>
      <c r="B30" s="1">
        <v>5</v>
      </c>
      <c r="C30" s="1">
        <v>3</v>
      </c>
      <c r="D30" s="1">
        <f>'Plate Planning'!$H$16</f>
        <v>0</v>
      </c>
      <c r="E30" s="1" t="str">
        <f>'Plate Planning'!$H$17</f>
        <v>LC-MS</v>
      </c>
      <c r="F30" s="1">
        <f>'Plate Planning'!$H$18</f>
        <v>500</v>
      </c>
      <c r="G30" s="1">
        <f>'Plate Planning'!$H$20</f>
        <v>25</v>
      </c>
      <c r="H30" s="1">
        <f>'Plate Planning'!$H$19</f>
        <v>24</v>
      </c>
      <c r="I30" s="1" t="b">
        <f>'Plate Planning'!$H$21</f>
        <v>1</v>
      </c>
      <c r="J30" s="1" t="str">
        <f>IF('Plate Planning'!$H$22=0, "NA",'Plate Planning'!$H$22)</f>
        <v>NA</v>
      </c>
      <c r="K30" s="1">
        <f>Reagents!$D$2</f>
        <v>0</v>
      </c>
      <c r="L30" s="1">
        <f>Reagents!$D$2</f>
        <v>0</v>
      </c>
      <c r="M30" s="1">
        <f>Reagents!$J$2</f>
        <v>0</v>
      </c>
      <c r="N30" s="1">
        <f>Reagents!$D$3</f>
        <v>0</v>
      </c>
      <c r="O30" s="1">
        <f>Reagents!$J$3</f>
        <v>0</v>
      </c>
      <c r="P30" s="1">
        <f>Reagents!$D$4</f>
        <v>0</v>
      </c>
      <c r="Q30" s="1">
        <f>Reagents!$J$4</f>
        <v>0</v>
      </c>
      <c r="R30" s="1">
        <f>Reagents!$D$5</f>
        <v>0</v>
      </c>
      <c r="S30" s="1">
        <f>Reagents!$J$5</f>
        <v>0</v>
      </c>
      <c r="T30" s="1">
        <f>Reagents!$D$6</f>
        <v>0</v>
      </c>
      <c r="U30" s="1">
        <f>Reagents!$J$6</f>
        <v>0</v>
      </c>
      <c r="V30" s="1">
        <f>Reagents!$D$7</f>
        <v>0</v>
      </c>
      <c r="W30" s="1">
        <f>Reagents!$J$7</f>
        <v>0</v>
      </c>
      <c r="X30" s="1">
        <f>Reagents!$D$8</f>
        <v>0</v>
      </c>
      <c r="Y30" s="1">
        <f>Reagents!$J$8</f>
        <v>0</v>
      </c>
      <c r="Z30" s="1">
        <f>Reagents!$D$9</f>
        <v>0</v>
      </c>
      <c r="AA30" s="1">
        <f>Reagents!$J$9</f>
        <v>0</v>
      </c>
      <c r="AB30" s="1">
        <f>Reagents!$D$10</f>
        <v>0</v>
      </c>
      <c r="AC30" s="1">
        <f>Reagents!$J$10</f>
        <v>0</v>
      </c>
      <c r="AD30" s="1">
        <f>Reagents!$D$11</f>
        <v>0</v>
      </c>
      <c r="AE30" s="1">
        <f>Reagents!$J$11</f>
        <v>0</v>
      </c>
      <c r="AF30" t="str">
        <f>Reagents!$C$16</f>
        <v>-</v>
      </c>
      <c r="AG30">
        <f>Reagents!$D$16</f>
        <v>0</v>
      </c>
      <c r="AH30">
        <f>Reagents!$J$16</f>
        <v>0</v>
      </c>
      <c r="AI30" t="str">
        <f>Reagents!$C$28</f>
        <v>-</v>
      </c>
      <c r="AJ30">
        <f>Reagents!$D$28</f>
        <v>0</v>
      </c>
      <c r="AK30">
        <f>Reagents!$J$28</f>
        <v>0</v>
      </c>
      <c r="AL30" t="str">
        <f>Reagents!$C$38</f>
        <v>-</v>
      </c>
      <c r="AM30">
        <f>Reagents!$D$38</f>
        <v>0</v>
      </c>
      <c r="AN30">
        <f>Reagents!$J$38</f>
        <v>0</v>
      </c>
      <c r="AO30" t="str">
        <f>Reagents!$C$46</f>
        <v>-</v>
      </c>
      <c r="AP30">
        <f>Reagents!$D$46</f>
        <v>0</v>
      </c>
      <c r="AQ30">
        <f>Reagents!$J$46</f>
        <v>0</v>
      </c>
      <c r="AR30">
        <f>'Plate Planning'!$K$18</f>
        <v>0</v>
      </c>
      <c r="AS30">
        <f>'Plate Planning'!$L$18</f>
        <v>0</v>
      </c>
      <c r="AT30">
        <f>'Uncorrected Area Counts'!G32</f>
        <v>0</v>
      </c>
      <c r="AU30" t="e">
        <f>Yields!E32</f>
        <v>#DIV/0!</v>
      </c>
      <c r="AV30">
        <f>'Plate Planning'!$K$19</f>
        <v>0</v>
      </c>
      <c r="AW30">
        <f>'Plate Planning'!$L$19</f>
        <v>0</v>
      </c>
      <c r="AX30">
        <f>'Uncorrected Area Counts'!H32</f>
        <v>0</v>
      </c>
      <c r="AY30" t="e">
        <f>Yields!F32</f>
        <v>#DIV/0!</v>
      </c>
      <c r="AZ30">
        <f>'Plate Planning'!$K$20</f>
        <v>0</v>
      </c>
      <c r="BA30">
        <f>'Plate Planning'!$L$20</f>
        <v>0</v>
      </c>
      <c r="BB30">
        <f>'Uncorrected Area Counts'!I32</f>
        <v>0</v>
      </c>
      <c r="BC30" t="e">
        <f>Yields!G32</f>
        <v>#DIV/0!</v>
      </c>
      <c r="BD30">
        <f>'Plate Planning'!$K$21</f>
        <v>0</v>
      </c>
      <c r="BE30">
        <f>'Plate Planning'!$L$21</f>
        <v>0</v>
      </c>
      <c r="BF30">
        <f>'Uncorrected Area Counts'!J32</f>
        <v>0</v>
      </c>
      <c r="BG30" t="e">
        <f>Yields!H32</f>
        <v>#DIV/0!</v>
      </c>
      <c r="BH30">
        <f>'Plate Planning'!$K$22</f>
        <v>0</v>
      </c>
      <c r="BI30">
        <f>'Plate Planning'!$L$22</f>
        <v>0</v>
      </c>
      <c r="BJ30">
        <f>'Uncorrected Area Counts'!K32</f>
        <v>0</v>
      </c>
      <c r="BK30" t="e">
        <f>Yields!I32</f>
        <v>#DIV/0!</v>
      </c>
      <c r="BL30">
        <f>'Plate Planning'!$K$23</f>
        <v>0</v>
      </c>
      <c r="BM30">
        <f>'Plate Planning'!$L$23</f>
        <v>0</v>
      </c>
      <c r="BN30">
        <f>'Uncorrected Area Counts'!L32</f>
        <v>0</v>
      </c>
      <c r="BO30" t="e">
        <f>Yields!J32</f>
        <v>#DIV/0!</v>
      </c>
      <c r="BP30">
        <f>'Plate Planning'!$K$24</f>
        <v>0</v>
      </c>
      <c r="BQ30">
        <f>'Plate Planning'!$L$24</f>
        <v>0</v>
      </c>
      <c r="BR30">
        <f>'Uncorrected Area Counts'!M32</f>
        <v>0</v>
      </c>
      <c r="BS30" t="e">
        <f>Yields!K32</f>
        <v>#DIV/0!</v>
      </c>
      <c r="BT30">
        <f>'Plate Planning'!$L$17</f>
        <v>0</v>
      </c>
      <c r="BU30">
        <f>'Plate Planning'!$M$17</f>
        <v>0</v>
      </c>
      <c r="BV30">
        <f>'Uncorrected Area Counts'!F32</f>
        <v>0</v>
      </c>
    </row>
    <row r="31" spans="1:74">
      <c r="A31" s="1">
        <v>30</v>
      </c>
      <c r="B31" s="1">
        <v>6</v>
      </c>
      <c r="C31" s="1">
        <v>3</v>
      </c>
      <c r="D31" s="1">
        <f>'Plate Planning'!$H$16</f>
        <v>0</v>
      </c>
      <c r="E31" s="1" t="str">
        <f>'Plate Planning'!$H$17</f>
        <v>LC-MS</v>
      </c>
      <c r="F31" s="1">
        <f>'Plate Planning'!$H$18</f>
        <v>500</v>
      </c>
      <c r="G31" s="1">
        <f>'Plate Planning'!$H$20</f>
        <v>25</v>
      </c>
      <c r="H31" s="1">
        <f>'Plate Planning'!$H$19</f>
        <v>24</v>
      </c>
      <c r="I31" s="1" t="b">
        <f>'Plate Planning'!$H$21</f>
        <v>1</v>
      </c>
      <c r="J31" s="1" t="str">
        <f>IF('Plate Planning'!$H$22=0, "NA",'Plate Planning'!$H$22)</f>
        <v>NA</v>
      </c>
      <c r="K31" s="1">
        <f>Reagents!$D$2</f>
        <v>0</v>
      </c>
      <c r="L31" s="1">
        <f>Reagents!$D$2</f>
        <v>0</v>
      </c>
      <c r="M31" s="1">
        <f>Reagents!$J$2</f>
        <v>0</v>
      </c>
      <c r="N31" s="1">
        <f>Reagents!$D$3</f>
        <v>0</v>
      </c>
      <c r="O31" s="1">
        <f>Reagents!$J$3</f>
        <v>0</v>
      </c>
      <c r="P31" s="1">
        <f>Reagents!$D$4</f>
        <v>0</v>
      </c>
      <c r="Q31" s="1">
        <f>Reagents!$J$4</f>
        <v>0</v>
      </c>
      <c r="R31" s="1">
        <f>Reagents!$D$5</f>
        <v>0</v>
      </c>
      <c r="S31" s="1">
        <f>Reagents!$J$5</f>
        <v>0</v>
      </c>
      <c r="T31" s="1">
        <f>Reagents!$D$6</f>
        <v>0</v>
      </c>
      <c r="U31" s="1">
        <f>Reagents!$J$6</f>
        <v>0</v>
      </c>
      <c r="V31" s="1">
        <f>Reagents!$D$7</f>
        <v>0</v>
      </c>
      <c r="W31" s="1">
        <f>Reagents!$J$7</f>
        <v>0</v>
      </c>
      <c r="X31" s="1">
        <f>Reagents!$D$8</f>
        <v>0</v>
      </c>
      <c r="Y31" s="1">
        <f>Reagents!$J$8</f>
        <v>0</v>
      </c>
      <c r="Z31" s="1">
        <f>Reagents!$D$9</f>
        <v>0</v>
      </c>
      <c r="AA31" s="1">
        <f>Reagents!$J$9</f>
        <v>0</v>
      </c>
      <c r="AB31" s="1">
        <f>Reagents!$D$10</f>
        <v>0</v>
      </c>
      <c r="AC31" s="1">
        <f>Reagents!$J$10</f>
        <v>0</v>
      </c>
      <c r="AD31" s="1">
        <f>Reagents!$D$11</f>
        <v>0</v>
      </c>
      <c r="AE31" s="1">
        <f>Reagents!$J$11</f>
        <v>0</v>
      </c>
      <c r="AF31" t="str">
        <f>Reagents!$C$17</f>
        <v>-</v>
      </c>
      <c r="AG31">
        <f>Reagents!$D$17</f>
        <v>0</v>
      </c>
      <c r="AH31">
        <f>Reagents!$J$17</f>
        <v>0</v>
      </c>
      <c r="AI31" t="str">
        <f>Reagents!$C$29</f>
        <v>-</v>
      </c>
      <c r="AJ31">
        <f>Reagents!$D$29</f>
        <v>0</v>
      </c>
      <c r="AK31">
        <f>Reagents!$J$29</f>
        <v>0</v>
      </c>
      <c r="AL31" t="str">
        <f>Reagents!$C$38</f>
        <v>-</v>
      </c>
      <c r="AM31">
        <f>Reagents!$D$38</f>
        <v>0</v>
      </c>
      <c r="AN31">
        <f>Reagents!$J$38</f>
        <v>0</v>
      </c>
      <c r="AO31" t="str">
        <f>Reagents!$C$46</f>
        <v>-</v>
      </c>
      <c r="AP31">
        <f>Reagents!$D$46</f>
        <v>0</v>
      </c>
      <c r="AQ31">
        <f>Reagents!$J$46</f>
        <v>0</v>
      </c>
      <c r="AR31">
        <f>'Plate Planning'!$K$18</f>
        <v>0</v>
      </c>
      <c r="AS31">
        <f>'Plate Planning'!$L$18</f>
        <v>0</v>
      </c>
      <c r="AT31">
        <f>'Uncorrected Area Counts'!G33</f>
        <v>0</v>
      </c>
      <c r="AU31" t="e">
        <f>Yields!E33</f>
        <v>#DIV/0!</v>
      </c>
      <c r="AV31">
        <f>'Plate Planning'!$K$19</f>
        <v>0</v>
      </c>
      <c r="AW31">
        <f>'Plate Planning'!$L$19</f>
        <v>0</v>
      </c>
      <c r="AX31">
        <f>'Uncorrected Area Counts'!H33</f>
        <v>0</v>
      </c>
      <c r="AY31" t="e">
        <f>Yields!F33</f>
        <v>#DIV/0!</v>
      </c>
      <c r="AZ31">
        <f>'Plate Planning'!$K$20</f>
        <v>0</v>
      </c>
      <c r="BA31">
        <f>'Plate Planning'!$L$20</f>
        <v>0</v>
      </c>
      <c r="BB31">
        <f>'Uncorrected Area Counts'!I33</f>
        <v>0</v>
      </c>
      <c r="BC31" t="e">
        <f>Yields!G33</f>
        <v>#DIV/0!</v>
      </c>
      <c r="BD31">
        <f>'Plate Planning'!$K$21</f>
        <v>0</v>
      </c>
      <c r="BE31">
        <f>'Plate Planning'!$L$21</f>
        <v>0</v>
      </c>
      <c r="BF31">
        <f>'Uncorrected Area Counts'!J33</f>
        <v>0</v>
      </c>
      <c r="BG31" t="e">
        <f>Yields!H33</f>
        <v>#DIV/0!</v>
      </c>
      <c r="BH31">
        <f>'Plate Planning'!$K$22</f>
        <v>0</v>
      </c>
      <c r="BI31">
        <f>'Plate Planning'!$L$22</f>
        <v>0</v>
      </c>
      <c r="BJ31">
        <f>'Uncorrected Area Counts'!K33</f>
        <v>0</v>
      </c>
      <c r="BK31" t="e">
        <f>Yields!I33</f>
        <v>#DIV/0!</v>
      </c>
      <c r="BL31">
        <f>'Plate Planning'!$K$23</f>
        <v>0</v>
      </c>
      <c r="BM31">
        <f>'Plate Planning'!$L$23</f>
        <v>0</v>
      </c>
      <c r="BN31">
        <f>'Uncorrected Area Counts'!L33</f>
        <v>0</v>
      </c>
      <c r="BO31" t="e">
        <f>Yields!J33</f>
        <v>#DIV/0!</v>
      </c>
      <c r="BP31">
        <f>'Plate Planning'!$K$24</f>
        <v>0</v>
      </c>
      <c r="BQ31">
        <f>'Plate Planning'!$L$24</f>
        <v>0</v>
      </c>
      <c r="BR31">
        <f>'Uncorrected Area Counts'!M33</f>
        <v>0</v>
      </c>
      <c r="BS31" t="e">
        <f>Yields!K33</f>
        <v>#DIV/0!</v>
      </c>
      <c r="BT31">
        <f>'Plate Planning'!$L$17</f>
        <v>0</v>
      </c>
      <c r="BU31">
        <f>'Plate Planning'!$M$17</f>
        <v>0</v>
      </c>
      <c r="BV31">
        <f>'Uncorrected Area Counts'!F33</f>
        <v>0</v>
      </c>
    </row>
    <row r="32" spans="1:74">
      <c r="A32" s="1">
        <v>31</v>
      </c>
      <c r="B32" s="1">
        <v>7</v>
      </c>
      <c r="C32" s="1">
        <v>3</v>
      </c>
      <c r="D32" s="1">
        <f>'Plate Planning'!$H$16</f>
        <v>0</v>
      </c>
      <c r="E32" s="1" t="str">
        <f>'Plate Planning'!$H$17</f>
        <v>LC-MS</v>
      </c>
      <c r="F32" s="1">
        <f>'Plate Planning'!$H$18</f>
        <v>500</v>
      </c>
      <c r="G32" s="1">
        <f>'Plate Planning'!$H$20</f>
        <v>25</v>
      </c>
      <c r="H32" s="1">
        <f>'Plate Planning'!$H$19</f>
        <v>24</v>
      </c>
      <c r="I32" s="1" t="b">
        <f>'Plate Planning'!$H$21</f>
        <v>1</v>
      </c>
      <c r="J32" s="1" t="str">
        <f>IF('Plate Planning'!$H$22=0, "NA",'Plate Planning'!$H$22)</f>
        <v>NA</v>
      </c>
      <c r="K32" s="1">
        <f>Reagents!$D$2</f>
        <v>0</v>
      </c>
      <c r="L32" s="1">
        <f>Reagents!$D$2</f>
        <v>0</v>
      </c>
      <c r="M32" s="1">
        <f>Reagents!$J$2</f>
        <v>0</v>
      </c>
      <c r="N32" s="1">
        <f>Reagents!$D$3</f>
        <v>0</v>
      </c>
      <c r="O32" s="1">
        <f>Reagents!$J$3</f>
        <v>0</v>
      </c>
      <c r="P32" s="1">
        <f>Reagents!$D$4</f>
        <v>0</v>
      </c>
      <c r="Q32" s="1">
        <f>Reagents!$J$4</f>
        <v>0</v>
      </c>
      <c r="R32" s="1">
        <f>Reagents!$D$5</f>
        <v>0</v>
      </c>
      <c r="S32" s="1">
        <f>Reagents!$J$5</f>
        <v>0</v>
      </c>
      <c r="T32" s="1">
        <f>Reagents!$D$6</f>
        <v>0</v>
      </c>
      <c r="U32" s="1">
        <f>Reagents!$J$6</f>
        <v>0</v>
      </c>
      <c r="V32" s="1">
        <f>Reagents!$D$7</f>
        <v>0</v>
      </c>
      <c r="W32" s="1">
        <f>Reagents!$J$7</f>
        <v>0</v>
      </c>
      <c r="X32" s="1">
        <f>Reagents!$D$8</f>
        <v>0</v>
      </c>
      <c r="Y32" s="1">
        <f>Reagents!$J$8</f>
        <v>0</v>
      </c>
      <c r="Z32" s="1">
        <f>Reagents!$D$9</f>
        <v>0</v>
      </c>
      <c r="AA32" s="1">
        <f>Reagents!$J$9</f>
        <v>0</v>
      </c>
      <c r="AB32" s="1">
        <f>Reagents!$D$10</f>
        <v>0</v>
      </c>
      <c r="AC32" s="1">
        <f>Reagents!$J$10</f>
        <v>0</v>
      </c>
      <c r="AD32" s="1">
        <f>Reagents!$D$11</f>
        <v>0</v>
      </c>
      <c r="AE32" s="1">
        <f>Reagents!$J$11</f>
        <v>0</v>
      </c>
      <c r="AF32" t="str">
        <f>Reagents!$C$18</f>
        <v>-</v>
      </c>
      <c r="AG32">
        <f>Reagents!$D$18</f>
        <v>0</v>
      </c>
      <c r="AH32">
        <f>Reagents!$J$18</f>
        <v>0</v>
      </c>
      <c r="AI32" t="str">
        <f>Reagents!$C$30</f>
        <v>-</v>
      </c>
      <c r="AJ32">
        <f>Reagents!$D$30</f>
        <v>0</v>
      </c>
      <c r="AK32">
        <f>Reagents!$J$30</f>
        <v>0</v>
      </c>
      <c r="AL32" t="str">
        <f>Reagents!$C$38</f>
        <v>-</v>
      </c>
      <c r="AM32">
        <f>Reagents!$D$38</f>
        <v>0</v>
      </c>
      <c r="AN32">
        <f>Reagents!$J$38</f>
        <v>0</v>
      </c>
      <c r="AO32" t="str">
        <f>Reagents!$C$46</f>
        <v>-</v>
      </c>
      <c r="AP32">
        <f>Reagents!$D$46</f>
        <v>0</v>
      </c>
      <c r="AQ32">
        <f>Reagents!$J$46</f>
        <v>0</v>
      </c>
      <c r="AR32">
        <f>'Plate Planning'!$K$18</f>
        <v>0</v>
      </c>
      <c r="AS32">
        <f>'Plate Planning'!$L$18</f>
        <v>0</v>
      </c>
      <c r="AT32">
        <f>'Uncorrected Area Counts'!G34</f>
        <v>0</v>
      </c>
      <c r="AU32" t="e">
        <f>Yields!E34</f>
        <v>#DIV/0!</v>
      </c>
      <c r="AV32">
        <f>'Plate Planning'!$K$19</f>
        <v>0</v>
      </c>
      <c r="AW32">
        <f>'Plate Planning'!$L$19</f>
        <v>0</v>
      </c>
      <c r="AX32">
        <f>'Uncorrected Area Counts'!H34</f>
        <v>0</v>
      </c>
      <c r="AY32" t="e">
        <f>Yields!F34</f>
        <v>#DIV/0!</v>
      </c>
      <c r="AZ32">
        <f>'Plate Planning'!$K$20</f>
        <v>0</v>
      </c>
      <c r="BA32">
        <f>'Plate Planning'!$L$20</f>
        <v>0</v>
      </c>
      <c r="BB32">
        <f>'Uncorrected Area Counts'!I34</f>
        <v>0</v>
      </c>
      <c r="BC32" t="e">
        <f>Yields!G34</f>
        <v>#DIV/0!</v>
      </c>
      <c r="BD32">
        <f>'Plate Planning'!$K$21</f>
        <v>0</v>
      </c>
      <c r="BE32">
        <f>'Plate Planning'!$L$21</f>
        <v>0</v>
      </c>
      <c r="BF32">
        <f>'Uncorrected Area Counts'!J34</f>
        <v>0</v>
      </c>
      <c r="BG32" t="e">
        <f>Yields!H34</f>
        <v>#DIV/0!</v>
      </c>
      <c r="BH32">
        <f>'Plate Planning'!$K$22</f>
        <v>0</v>
      </c>
      <c r="BI32">
        <f>'Plate Planning'!$L$22</f>
        <v>0</v>
      </c>
      <c r="BJ32">
        <f>'Uncorrected Area Counts'!K34</f>
        <v>0</v>
      </c>
      <c r="BK32" t="e">
        <f>Yields!I34</f>
        <v>#DIV/0!</v>
      </c>
      <c r="BL32">
        <f>'Plate Planning'!$K$23</f>
        <v>0</v>
      </c>
      <c r="BM32">
        <f>'Plate Planning'!$L$23</f>
        <v>0</v>
      </c>
      <c r="BN32">
        <f>'Uncorrected Area Counts'!L34</f>
        <v>0</v>
      </c>
      <c r="BO32" t="e">
        <f>Yields!J34</f>
        <v>#DIV/0!</v>
      </c>
      <c r="BP32">
        <f>'Plate Planning'!$K$24</f>
        <v>0</v>
      </c>
      <c r="BQ32">
        <f>'Plate Planning'!$L$24</f>
        <v>0</v>
      </c>
      <c r="BR32">
        <f>'Uncorrected Area Counts'!M34</f>
        <v>0</v>
      </c>
      <c r="BS32" t="e">
        <f>Yields!K34</f>
        <v>#DIV/0!</v>
      </c>
      <c r="BT32">
        <f>'Plate Planning'!$L$17</f>
        <v>0</v>
      </c>
      <c r="BU32">
        <f>'Plate Planning'!$M$17</f>
        <v>0</v>
      </c>
      <c r="BV32">
        <f>'Uncorrected Area Counts'!F34</f>
        <v>0</v>
      </c>
    </row>
    <row r="33" spans="1:74">
      <c r="A33" s="1">
        <v>32</v>
      </c>
      <c r="B33" s="1">
        <v>8</v>
      </c>
      <c r="C33" s="1">
        <v>3</v>
      </c>
      <c r="D33" s="1">
        <f>'Plate Planning'!$H$16</f>
        <v>0</v>
      </c>
      <c r="E33" s="1" t="str">
        <f>'Plate Planning'!$H$17</f>
        <v>LC-MS</v>
      </c>
      <c r="F33" s="1">
        <f>'Plate Planning'!$H$18</f>
        <v>500</v>
      </c>
      <c r="G33" s="1">
        <f>'Plate Planning'!$H$20</f>
        <v>25</v>
      </c>
      <c r="H33" s="1">
        <f>'Plate Planning'!$H$19</f>
        <v>24</v>
      </c>
      <c r="I33" s="1" t="b">
        <f>'Plate Planning'!$H$21</f>
        <v>1</v>
      </c>
      <c r="J33" s="1" t="str">
        <f>IF('Plate Planning'!$H$22=0, "NA",'Plate Planning'!$H$22)</f>
        <v>NA</v>
      </c>
      <c r="K33" s="1">
        <f>Reagents!$D$2</f>
        <v>0</v>
      </c>
      <c r="L33" s="1">
        <f>Reagents!$D$2</f>
        <v>0</v>
      </c>
      <c r="M33" s="1">
        <f>Reagents!$J$2</f>
        <v>0</v>
      </c>
      <c r="N33" s="1">
        <f>Reagents!$D$3</f>
        <v>0</v>
      </c>
      <c r="O33" s="1">
        <f>Reagents!$J$3</f>
        <v>0</v>
      </c>
      <c r="P33" s="1">
        <f>Reagents!$D$4</f>
        <v>0</v>
      </c>
      <c r="Q33" s="1">
        <f>Reagents!$J$4</f>
        <v>0</v>
      </c>
      <c r="R33" s="1">
        <f>Reagents!$D$5</f>
        <v>0</v>
      </c>
      <c r="S33" s="1">
        <f>Reagents!$J$5</f>
        <v>0</v>
      </c>
      <c r="T33" s="1">
        <f>Reagents!$D$6</f>
        <v>0</v>
      </c>
      <c r="U33" s="1">
        <f>Reagents!$J$6</f>
        <v>0</v>
      </c>
      <c r="V33" s="1">
        <f>Reagents!$D$7</f>
        <v>0</v>
      </c>
      <c r="W33" s="1">
        <f>Reagents!$J$7</f>
        <v>0</v>
      </c>
      <c r="X33" s="1">
        <f>Reagents!$D$8</f>
        <v>0</v>
      </c>
      <c r="Y33" s="1">
        <f>Reagents!$J$8</f>
        <v>0</v>
      </c>
      <c r="Z33" s="1">
        <f>Reagents!$D$9</f>
        <v>0</v>
      </c>
      <c r="AA33" s="1">
        <f>Reagents!$J$9</f>
        <v>0</v>
      </c>
      <c r="AB33" s="1">
        <f>Reagents!$D$10</f>
        <v>0</v>
      </c>
      <c r="AC33" s="1">
        <f>Reagents!$J$10</f>
        <v>0</v>
      </c>
      <c r="AD33" s="1">
        <f>Reagents!$D$11</f>
        <v>0</v>
      </c>
      <c r="AE33" s="1">
        <f>Reagents!$J$11</f>
        <v>0</v>
      </c>
      <c r="AF33" t="str">
        <f>Reagents!$C$19</f>
        <v>-</v>
      </c>
      <c r="AG33">
        <f>Reagents!$D$19</f>
        <v>0</v>
      </c>
      <c r="AH33">
        <f>Reagents!$J$19</f>
        <v>0</v>
      </c>
      <c r="AI33" t="str">
        <f>Reagents!$C$31</f>
        <v>-</v>
      </c>
      <c r="AJ33">
        <f>Reagents!$D$31</f>
        <v>0</v>
      </c>
      <c r="AK33">
        <f>Reagents!$J$31</f>
        <v>0</v>
      </c>
      <c r="AL33" t="str">
        <f>Reagents!$C$38</f>
        <v>-</v>
      </c>
      <c r="AM33">
        <f>Reagents!$D$38</f>
        <v>0</v>
      </c>
      <c r="AN33">
        <f>Reagents!$J$38</f>
        <v>0</v>
      </c>
      <c r="AO33" t="str">
        <f>Reagents!$C$46</f>
        <v>-</v>
      </c>
      <c r="AP33">
        <f>Reagents!$D$46</f>
        <v>0</v>
      </c>
      <c r="AQ33">
        <f>Reagents!$J$46</f>
        <v>0</v>
      </c>
      <c r="AR33">
        <f>'Plate Planning'!$K$18</f>
        <v>0</v>
      </c>
      <c r="AS33">
        <f>'Plate Planning'!$L$18</f>
        <v>0</v>
      </c>
      <c r="AT33">
        <f>'Uncorrected Area Counts'!G35</f>
        <v>0</v>
      </c>
      <c r="AU33" t="e">
        <f>Yields!E35</f>
        <v>#DIV/0!</v>
      </c>
      <c r="AV33">
        <f>'Plate Planning'!$K$19</f>
        <v>0</v>
      </c>
      <c r="AW33">
        <f>'Plate Planning'!$L$19</f>
        <v>0</v>
      </c>
      <c r="AX33">
        <f>'Uncorrected Area Counts'!H35</f>
        <v>0</v>
      </c>
      <c r="AY33" t="e">
        <f>Yields!F35</f>
        <v>#DIV/0!</v>
      </c>
      <c r="AZ33">
        <f>'Plate Planning'!$K$20</f>
        <v>0</v>
      </c>
      <c r="BA33">
        <f>'Plate Planning'!$L$20</f>
        <v>0</v>
      </c>
      <c r="BB33">
        <f>'Uncorrected Area Counts'!I35</f>
        <v>0</v>
      </c>
      <c r="BC33" t="e">
        <f>Yields!G35</f>
        <v>#DIV/0!</v>
      </c>
      <c r="BD33">
        <f>'Plate Planning'!$K$21</f>
        <v>0</v>
      </c>
      <c r="BE33">
        <f>'Plate Planning'!$L$21</f>
        <v>0</v>
      </c>
      <c r="BF33">
        <f>'Uncorrected Area Counts'!J35</f>
        <v>0</v>
      </c>
      <c r="BG33" t="e">
        <f>Yields!H35</f>
        <v>#DIV/0!</v>
      </c>
      <c r="BH33">
        <f>'Plate Planning'!$K$22</f>
        <v>0</v>
      </c>
      <c r="BI33">
        <f>'Plate Planning'!$L$22</f>
        <v>0</v>
      </c>
      <c r="BJ33">
        <f>'Uncorrected Area Counts'!K35</f>
        <v>0</v>
      </c>
      <c r="BK33" t="e">
        <f>Yields!I35</f>
        <v>#DIV/0!</v>
      </c>
      <c r="BL33">
        <f>'Plate Planning'!$K$23</f>
        <v>0</v>
      </c>
      <c r="BM33">
        <f>'Plate Planning'!$L$23</f>
        <v>0</v>
      </c>
      <c r="BN33">
        <f>'Uncorrected Area Counts'!L35</f>
        <v>0</v>
      </c>
      <c r="BO33" t="e">
        <f>Yields!J35</f>
        <v>#DIV/0!</v>
      </c>
      <c r="BP33">
        <f>'Plate Planning'!$K$24</f>
        <v>0</v>
      </c>
      <c r="BQ33">
        <f>'Plate Planning'!$L$24</f>
        <v>0</v>
      </c>
      <c r="BR33">
        <f>'Uncorrected Area Counts'!M35</f>
        <v>0</v>
      </c>
      <c r="BS33" t="e">
        <f>Yields!K35</f>
        <v>#DIV/0!</v>
      </c>
      <c r="BT33">
        <f>'Plate Planning'!$L$17</f>
        <v>0</v>
      </c>
      <c r="BU33">
        <f>'Plate Planning'!$M$17</f>
        <v>0</v>
      </c>
      <c r="BV33">
        <f>'Uncorrected Area Counts'!F35</f>
        <v>0</v>
      </c>
    </row>
    <row r="34" spans="1:74">
      <c r="A34" s="1">
        <v>33</v>
      </c>
      <c r="B34" s="1">
        <v>9</v>
      </c>
      <c r="C34" s="1">
        <v>3</v>
      </c>
      <c r="D34" s="1">
        <f>'Plate Planning'!$H$16</f>
        <v>0</v>
      </c>
      <c r="E34" s="1" t="str">
        <f>'Plate Planning'!$H$17</f>
        <v>LC-MS</v>
      </c>
      <c r="F34" s="1">
        <f>'Plate Planning'!$H$18</f>
        <v>500</v>
      </c>
      <c r="G34" s="1">
        <f>'Plate Planning'!$H$20</f>
        <v>25</v>
      </c>
      <c r="H34" s="1">
        <f>'Plate Planning'!$H$19</f>
        <v>24</v>
      </c>
      <c r="I34" s="1" t="b">
        <f>'Plate Planning'!$H$21</f>
        <v>1</v>
      </c>
      <c r="J34" s="1" t="str">
        <f>IF('Plate Planning'!$H$22=0, "NA",'Plate Planning'!$H$22)</f>
        <v>NA</v>
      </c>
      <c r="K34" s="1">
        <f>Reagents!$D$2</f>
        <v>0</v>
      </c>
      <c r="L34" s="1">
        <f>Reagents!$D$2</f>
        <v>0</v>
      </c>
      <c r="M34" s="1">
        <f>Reagents!$J$2</f>
        <v>0</v>
      </c>
      <c r="N34" s="1">
        <f>Reagents!$D$3</f>
        <v>0</v>
      </c>
      <c r="O34" s="1">
        <f>Reagents!$J$3</f>
        <v>0</v>
      </c>
      <c r="P34" s="1">
        <f>Reagents!$D$4</f>
        <v>0</v>
      </c>
      <c r="Q34" s="1">
        <f>Reagents!$J$4</f>
        <v>0</v>
      </c>
      <c r="R34" s="1">
        <f>Reagents!$D$5</f>
        <v>0</v>
      </c>
      <c r="S34" s="1">
        <f>Reagents!$J$5</f>
        <v>0</v>
      </c>
      <c r="T34" s="1">
        <f>Reagents!$D$6</f>
        <v>0</v>
      </c>
      <c r="U34" s="1">
        <f>Reagents!$J$6</f>
        <v>0</v>
      </c>
      <c r="V34" s="1">
        <f>Reagents!$D$7</f>
        <v>0</v>
      </c>
      <c r="W34" s="1">
        <f>Reagents!$J$7</f>
        <v>0</v>
      </c>
      <c r="X34" s="1">
        <f>Reagents!$D$8</f>
        <v>0</v>
      </c>
      <c r="Y34" s="1">
        <f>Reagents!$J$8</f>
        <v>0</v>
      </c>
      <c r="Z34" s="1">
        <f>Reagents!$D$9</f>
        <v>0</v>
      </c>
      <c r="AA34" s="1">
        <f>Reagents!$J$9</f>
        <v>0</v>
      </c>
      <c r="AB34" s="1">
        <f>Reagents!$D$10</f>
        <v>0</v>
      </c>
      <c r="AC34" s="1">
        <f>Reagents!$J$10</f>
        <v>0</v>
      </c>
      <c r="AD34" s="1">
        <f>Reagents!$D$11</f>
        <v>0</v>
      </c>
      <c r="AE34" s="1">
        <f>Reagents!$J$11</f>
        <v>0</v>
      </c>
      <c r="AF34" t="str">
        <f>Reagents!$C$20</f>
        <v>-</v>
      </c>
      <c r="AG34">
        <f>Reagents!$D$20</f>
        <v>0</v>
      </c>
      <c r="AH34">
        <f>Reagents!$J$20</f>
        <v>0</v>
      </c>
      <c r="AI34" t="str">
        <f>Reagents!$C$32</f>
        <v>-</v>
      </c>
      <c r="AJ34">
        <f>Reagents!$D$32</f>
        <v>0</v>
      </c>
      <c r="AK34">
        <f>Reagents!$J$32</f>
        <v>0</v>
      </c>
      <c r="AL34" t="str">
        <f>Reagents!$C$38</f>
        <v>-</v>
      </c>
      <c r="AM34">
        <f>Reagents!$D$38</f>
        <v>0</v>
      </c>
      <c r="AN34">
        <f>Reagents!$J$38</f>
        <v>0</v>
      </c>
      <c r="AO34" t="str">
        <f>Reagents!$C$46</f>
        <v>-</v>
      </c>
      <c r="AP34">
        <f>Reagents!$D$46</f>
        <v>0</v>
      </c>
      <c r="AQ34">
        <f>Reagents!$J$46</f>
        <v>0</v>
      </c>
      <c r="AR34">
        <f>'Plate Planning'!$K$18</f>
        <v>0</v>
      </c>
      <c r="AS34">
        <f>'Plate Planning'!$L$18</f>
        <v>0</v>
      </c>
      <c r="AT34">
        <f>'Uncorrected Area Counts'!G36</f>
        <v>0</v>
      </c>
      <c r="AU34" t="e">
        <f>Yields!E36</f>
        <v>#DIV/0!</v>
      </c>
      <c r="AV34">
        <f>'Plate Planning'!$K$19</f>
        <v>0</v>
      </c>
      <c r="AW34">
        <f>'Plate Planning'!$L$19</f>
        <v>0</v>
      </c>
      <c r="AX34">
        <f>'Uncorrected Area Counts'!H36</f>
        <v>0</v>
      </c>
      <c r="AY34" t="e">
        <f>Yields!F36</f>
        <v>#DIV/0!</v>
      </c>
      <c r="AZ34">
        <f>'Plate Planning'!$K$20</f>
        <v>0</v>
      </c>
      <c r="BA34">
        <f>'Plate Planning'!$L$20</f>
        <v>0</v>
      </c>
      <c r="BB34">
        <f>'Uncorrected Area Counts'!I36</f>
        <v>0</v>
      </c>
      <c r="BC34" t="e">
        <f>Yields!G36</f>
        <v>#DIV/0!</v>
      </c>
      <c r="BD34">
        <f>'Plate Planning'!$K$21</f>
        <v>0</v>
      </c>
      <c r="BE34">
        <f>'Plate Planning'!$L$21</f>
        <v>0</v>
      </c>
      <c r="BF34">
        <f>'Uncorrected Area Counts'!J36</f>
        <v>0</v>
      </c>
      <c r="BG34" t="e">
        <f>Yields!H36</f>
        <v>#DIV/0!</v>
      </c>
      <c r="BH34">
        <f>'Plate Planning'!$K$22</f>
        <v>0</v>
      </c>
      <c r="BI34">
        <f>'Plate Planning'!$L$22</f>
        <v>0</v>
      </c>
      <c r="BJ34">
        <f>'Uncorrected Area Counts'!K36</f>
        <v>0</v>
      </c>
      <c r="BK34" t="e">
        <f>Yields!I36</f>
        <v>#DIV/0!</v>
      </c>
      <c r="BL34">
        <f>'Plate Planning'!$K$23</f>
        <v>0</v>
      </c>
      <c r="BM34">
        <f>'Plate Planning'!$L$23</f>
        <v>0</v>
      </c>
      <c r="BN34">
        <f>'Uncorrected Area Counts'!L36</f>
        <v>0</v>
      </c>
      <c r="BO34" t="e">
        <f>Yields!J36</f>
        <v>#DIV/0!</v>
      </c>
      <c r="BP34">
        <f>'Plate Planning'!$K$24</f>
        <v>0</v>
      </c>
      <c r="BQ34">
        <f>'Plate Planning'!$L$24</f>
        <v>0</v>
      </c>
      <c r="BR34">
        <f>'Uncorrected Area Counts'!M36</f>
        <v>0</v>
      </c>
      <c r="BS34" t="e">
        <f>Yields!K36</f>
        <v>#DIV/0!</v>
      </c>
      <c r="BT34">
        <f>'Plate Planning'!$L$17</f>
        <v>0</v>
      </c>
      <c r="BU34">
        <f>'Plate Planning'!$M$17</f>
        <v>0</v>
      </c>
      <c r="BV34">
        <f>'Uncorrected Area Counts'!F36</f>
        <v>0</v>
      </c>
    </row>
    <row r="35" spans="1:74">
      <c r="A35" s="1">
        <v>34</v>
      </c>
      <c r="B35" s="1">
        <v>10</v>
      </c>
      <c r="C35" s="1">
        <v>3</v>
      </c>
      <c r="D35" s="1">
        <f>'Plate Planning'!$H$16</f>
        <v>0</v>
      </c>
      <c r="E35" s="1" t="str">
        <f>'Plate Planning'!$H$17</f>
        <v>LC-MS</v>
      </c>
      <c r="F35" s="1">
        <f>'Plate Planning'!$H$18</f>
        <v>500</v>
      </c>
      <c r="G35" s="1">
        <f>'Plate Planning'!$H$20</f>
        <v>25</v>
      </c>
      <c r="H35" s="1">
        <f>'Plate Planning'!$H$19</f>
        <v>24</v>
      </c>
      <c r="I35" s="1" t="b">
        <f>'Plate Planning'!$H$21</f>
        <v>1</v>
      </c>
      <c r="J35" s="1" t="str">
        <f>IF('Plate Planning'!$H$22=0, "NA",'Plate Planning'!$H$22)</f>
        <v>NA</v>
      </c>
      <c r="K35" s="1">
        <f>Reagents!$D$2</f>
        <v>0</v>
      </c>
      <c r="L35" s="1">
        <f>Reagents!$D$2</f>
        <v>0</v>
      </c>
      <c r="M35" s="1">
        <f>Reagents!$J$2</f>
        <v>0</v>
      </c>
      <c r="N35" s="1">
        <f>Reagents!$D$3</f>
        <v>0</v>
      </c>
      <c r="O35" s="1">
        <f>Reagents!$J$3</f>
        <v>0</v>
      </c>
      <c r="P35" s="1">
        <f>Reagents!$D$4</f>
        <v>0</v>
      </c>
      <c r="Q35" s="1">
        <f>Reagents!$J$4</f>
        <v>0</v>
      </c>
      <c r="R35" s="1">
        <f>Reagents!$D$5</f>
        <v>0</v>
      </c>
      <c r="S35" s="1">
        <f>Reagents!$J$5</f>
        <v>0</v>
      </c>
      <c r="T35" s="1">
        <f>Reagents!$D$6</f>
        <v>0</v>
      </c>
      <c r="U35" s="1">
        <f>Reagents!$J$6</f>
        <v>0</v>
      </c>
      <c r="V35" s="1">
        <f>Reagents!$D$7</f>
        <v>0</v>
      </c>
      <c r="W35" s="1">
        <f>Reagents!$J$7</f>
        <v>0</v>
      </c>
      <c r="X35" s="1">
        <f>Reagents!$D$8</f>
        <v>0</v>
      </c>
      <c r="Y35" s="1">
        <f>Reagents!$J$8</f>
        <v>0</v>
      </c>
      <c r="Z35" s="1">
        <f>Reagents!$D$9</f>
        <v>0</v>
      </c>
      <c r="AA35" s="1">
        <f>Reagents!$J$9</f>
        <v>0</v>
      </c>
      <c r="AB35" s="1">
        <f>Reagents!$D$10</f>
        <v>0</v>
      </c>
      <c r="AC35" s="1">
        <f>Reagents!$J$10</f>
        <v>0</v>
      </c>
      <c r="AD35" s="1">
        <f>Reagents!$D$11</f>
        <v>0</v>
      </c>
      <c r="AE35" s="1">
        <f>Reagents!$J$11</f>
        <v>0</v>
      </c>
      <c r="AF35" t="str">
        <f>Reagents!$C$21</f>
        <v>-</v>
      </c>
      <c r="AG35">
        <f>Reagents!$D$21</f>
        <v>0</v>
      </c>
      <c r="AH35">
        <f>Reagents!$J$21</f>
        <v>0</v>
      </c>
      <c r="AI35" t="str">
        <f>Reagents!$C$33</f>
        <v>-</v>
      </c>
      <c r="AJ35">
        <f>Reagents!$D$33</f>
        <v>0</v>
      </c>
      <c r="AK35">
        <f>Reagents!$J$33</f>
        <v>0</v>
      </c>
      <c r="AL35" t="str">
        <f>Reagents!$C$38</f>
        <v>-</v>
      </c>
      <c r="AM35">
        <f>Reagents!$D$38</f>
        <v>0</v>
      </c>
      <c r="AN35">
        <f>Reagents!$J$38</f>
        <v>0</v>
      </c>
      <c r="AO35" t="str">
        <f>Reagents!$C$46</f>
        <v>-</v>
      </c>
      <c r="AP35">
        <f>Reagents!$D$46</f>
        <v>0</v>
      </c>
      <c r="AQ35">
        <f>Reagents!$J$46</f>
        <v>0</v>
      </c>
      <c r="AR35">
        <f>'Plate Planning'!$K$18</f>
        <v>0</v>
      </c>
      <c r="AS35">
        <f>'Plate Planning'!$L$18</f>
        <v>0</v>
      </c>
      <c r="AT35">
        <f>'Uncorrected Area Counts'!G37</f>
        <v>0</v>
      </c>
      <c r="AU35" t="e">
        <f>Yields!E37</f>
        <v>#DIV/0!</v>
      </c>
      <c r="AV35">
        <f>'Plate Planning'!$K$19</f>
        <v>0</v>
      </c>
      <c r="AW35">
        <f>'Plate Planning'!$L$19</f>
        <v>0</v>
      </c>
      <c r="AX35">
        <f>'Uncorrected Area Counts'!H37</f>
        <v>0</v>
      </c>
      <c r="AY35" t="e">
        <f>Yields!F37</f>
        <v>#DIV/0!</v>
      </c>
      <c r="AZ35">
        <f>'Plate Planning'!$K$20</f>
        <v>0</v>
      </c>
      <c r="BA35">
        <f>'Plate Planning'!$L$20</f>
        <v>0</v>
      </c>
      <c r="BB35">
        <f>'Uncorrected Area Counts'!I37</f>
        <v>0</v>
      </c>
      <c r="BC35" t="e">
        <f>Yields!G37</f>
        <v>#DIV/0!</v>
      </c>
      <c r="BD35">
        <f>'Plate Planning'!$K$21</f>
        <v>0</v>
      </c>
      <c r="BE35">
        <f>'Plate Planning'!$L$21</f>
        <v>0</v>
      </c>
      <c r="BF35">
        <f>'Uncorrected Area Counts'!J37</f>
        <v>0</v>
      </c>
      <c r="BG35" t="e">
        <f>Yields!H37</f>
        <v>#DIV/0!</v>
      </c>
      <c r="BH35">
        <f>'Plate Planning'!$K$22</f>
        <v>0</v>
      </c>
      <c r="BI35">
        <f>'Plate Planning'!$L$22</f>
        <v>0</v>
      </c>
      <c r="BJ35">
        <f>'Uncorrected Area Counts'!K37</f>
        <v>0</v>
      </c>
      <c r="BK35" t="e">
        <f>Yields!I37</f>
        <v>#DIV/0!</v>
      </c>
      <c r="BL35">
        <f>'Plate Planning'!$K$23</f>
        <v>0</v>
      </c>
      <c r="BM35">
        <f>'Plate Planning'!$L$23</f>
        <v>0</v>
      </c>
      <c r="BN35">
        <f>'Uncorrected Area Counts'!L37</f>
        <v>0</v>
      </c>
      <c r="BO35" t="e">
        <f>Yields!J37</f>
        <v>#DIV/0!</v>
      </c>
      <c r="BP35">
        <f>'Plate Planning'!$K$24</f>
        <v>0</v>
      </c>
      <c r="BQ35">
        <f>'Plate Planning'!$L$24</f>
        <v>0</v>
      </c>
      <c r="BR35">
        <f>'Uncorrected Area Counts'!M37</f>
        <v>0</v>
      </c>
      <c r="BS35" t="e">
        <f>Yields!K37</f>
        <v>#DIV/0!</v>
      </c>
      <c r="BT35">
        <f>'Plate Planning'!$L$17</f>
        <v>0</v>
      </c>
      <c r="BU35">
        <f>'Plate Planning'!$M$17</f>
        <v>0</v>
      </c>
      <c r="BV35">
        <f>'Uncorrected Area Counts'!F37</f>
        <v>0</v>
      </c>
    </row>
    <row r="36" spans="1:74">
      <c r="A36" s="1">
        <v>35</v>
      </c>
      <c r="B36" s="1">
        <v>11</v>
      </c>
      <c r="C36" s="1">
        <v>3</v>
      </c>
      <c r="D36" s="1">
        <f>'Plate Planning'!$H$16</f>
        <v>0</v>
      </c>
      <c r="E36" s="1" t="str">
        <f>'Plate Planning'!$H$17</f>
        <v>LC-MS</v>
      </c>
      <c r="F36" s="1">
        <f>'Plate Planning'!$H$18</f>
        <v>500</v>
      </c>
      <c r="G36" s="1">
        <f>'Plate Planning'!$H$20</f>
        <v>25</v>
      </c>
      <c r="H36" s="1">
        <f>'Plate Planning'!$H$19</f>
        <v>24</v>
      </c>
      <c r="I36" s="1" t="b">
        <f>'Plate Planning'!$H$21</f>
        <v>1</v>
      </c>
      <c r="J36" s="1" t="str">
        <f>IF('Plate Planning'!$H$22=0, "NA",'Plate Planning'!$H$22)</f>
        <v>NA</v>
      </c>
      <c r="K36" s="1">
        <f>Reagents!$D$2</f>
        <v>0</v>
      </c>
      <c r="L36" s="1">
        <f>Reagents!$D$2</f>
        <v>0</v>
      </c>
      <c r="M36" s="1">
        <f>Reagents!$J$2</f>
        <v>0</v>
      </c>
      <c r="N36" s="1">
        <f>Reagents!$D$3</f>
        <v>0</v>
      </c>
      <c r="O36" s="1">
        <f>Reagents!$J$3</f>
        <v>0</v>
      </c>
      <c r="P36" s="1">
        <f>Reagents!$D$4</f>
        <v>0</v>
      </c>
      <c r="Q36" s="1">
        <f>Reagents!$J$4</f>
        <v>0</v>
      </c>
      <c r="R36" s="1">
        <f>Reagents!$D$5</f>
        <v>0</v>
      </c>
      <c r="S36" s="1">
        <f>Reagents!$J$5</f>
        <v>0</v>
      </c>
      <c r="T36" s="1">
        <f>Reagents!$D$6</f>
        <v>0</v>
      </c>
      <c r="U36" s="1">
        <f>Reagents!$J$6</f>
        <v>0</v>
      </c>
      <c r="V36" s="1">
        <f>Reagents!$D$7</f>
        <v>0</v>
      </c>
      <c r="W36" s="1">
        <f>Reagents!$J$7</f>
        <v>0</v>
      </c>
      <c r="X36" s="1">
        <f>Reagents!$D$8</f>
        <v>0</v>
      </c>
      <c r="Y36" s="1">
        <f>Reagents!$J$8</f>
        <v>0</v>
      </c>
      <c r="Z36" s="1">
        <f>Reagents!$D$9</f>
        <v>0</v>
      </c>
      <c r="AA36" s="1">
        <f>Reagents!$J$9</f>
        <v>0</v>
      </c>
      <c r="AB36" s="1">
        <f>Reagents!$D$10</f>
        <v>0</v>
      </c>
      <c r="AC36" s="1">
        <f>Reagents!$J$10</f>
        <v>0</v>
      </c>
      <c r="AD36" s="1">
        <f>Reagents!$D$11</f>
        <v>0</v>
      </c>
      <c r="AE36" s="1">
        <f>Reagents!$J$11</f>
        <v>0</v>
      </c>
      <c r="AF36" t="str">
        <f>Reagents!$C$22</f>
        <v>-</v>
      </c>
      <c r="AG36">
        <f>Reagents!$D$22</f>
        <v>0</v>
      </c>
      <c r="AH36">
        <f>Reagents!$J$22</f>
        <v>0</v>
      </c>
      <c r="AI36" t="str">
        <f>Reagents!$C$34</f>
        <v>-</v>
      </c>
      <c r="AJ36">
        <f>Reagents!$D$34</f>
        <v>0</v>
      </c>
      <c r="AK36">
        <f>Reagents!$J$34</f>
        <v>0</v>
      </c>
      <c r="AL36" t="str">
        <f>Reagents!$C$38</f>
        <v>-</v>
      </c>
      <c r="AM36">
        <f>Reagents!$D$38</f>
        <v>0</v>
      </c>
      <c r="AN36">
        <f>Reagents!$J$38</f>
        <v>0</v>
      </c>
      <c r="AO36" t="str">
        <f>Reagents!$C$46</f>
        <v>-</v>
      </c>
      <c r="AP36">
        <f>Reagents!$D$46</f>
        <v>0</v>
      </c>
      <c r="AQ36">
        <f>Reagents!$J$46</f>
        <v>0</v>
      </c>
      <c r="AR36">
        <f>'Plate Planning'!$K$18</f>
        <v>0</v>
      </c>
      <c r="AS36">
        <f>'Plate Planning'!$L$18</f>
        <v>0</v>
      </c>
      <c r="AT36">
        <f>'Uncorrected Area Counts'!G38</f>
        <v>0</v>
      </c>
      <c r="AU36" t="e">
        <f>Yields!E38</f>
        <v>#DIV/0!</v>
      </c>
      <c r="AV36">
        <f>'Plate Planning'!$K$19</f>
        <v>0</v>
      </c>
      <c r="AW36">
        <f>'Plate Planning'!$L$19</f>
        <v>0</v>
      </c>
      <c r="AX36">
        <f>'Uncorrected Area Counts'!H38</f>
        <v>0</v>
      </c>
      <c r="AY36" t="e">
        <f>Yields!F38</f>
        <v>#DIV/0!</v>
      </c>
      <c r="AZ36">
        <f>'Plate Planning'!$K$20</f>
        <v>0</v>
      </c>
      <c r="BA36">
        <f>'Plate Planning'!$L$20</f>
        <v>0</v>
      </c>
      <c r="BB36">
        <f>'Uncorrected Area Counts'!I38</f>
        <v>0</v>
      </c>
      <c r="BC36" t="e">
        <f>Yields!G38</f>
        <v>#DIV/0!</v>
      </c>
      <c r="BD36">
        <f>'Plate Planning'!$K$21</f>
        <v>0</v>
      </c>
      <c r="BE36">
        <f>'Plate Planning'!$L$21</f>
        <v>0</v>
      </c>
      <c r="BF36">
        <f>'Uncorrected Area Counts'!J38</f>
        <v>0</v>
      </c>
      <c r="BG36" t="e">
        <f>Yields!H38</f>
        <v>#DIV/0!</v>
      </c>
      <c r="BH36">
        <f>'Plate Planning'!$K$22</f>
        <v>0</v>
      </c>
      <c r="BI36">
        <f>'Plate Planning'!$L$22</f>
        <v>0</v>
      </c>
      <c r="BJ36">
        <f>'Uncorrected Area Counts'!K38</f>
        <v>0</v>
      </c>
      <c r="BK36" t="e">
        <f>Yields!I38</f>
        <v>#DIV/0!</v>
      </c>
      <c r="BL36">
        <f>'Plate Planning'!$K$23</f>
        <v>0</v>
      </c>
      <c r="BM36">
        <f>'Plate Planning'!$L$23</f>
        <v>0</v>
      </c>
      <c r="BN36">
        <f>'Uncorrected Area Counts'!L38</f>
        <v>0</v>
      </c>
      <c r="BO36" t="e">
        <f>Yields!J38</f>
        <v>#DIV/0!</v>
      </c>
      <c r="BP36">
        <f>'Plate Planning'!$K$24</f>
        <v>0</v>
      </c>
      <c r="BQ36">
        <f>'Plate Planning'!$L$24</f>
        <v>0</v>
      </c>
      <c r="BR36">
        <f>'Uncorrected Area Counts'!M38</f>
        <v>0</v>
      </c>
      <c r="BS36" t="e">
        <f>Yields!K38</f>
        <v>#DIV/0!</v>
      </c>
      <c r="BT36">
        <f>'Plate Planning'!$L$17</f>
        <v>0</v>
      </c>
      <c r="BU36">
        <f>'Plate Planning'!$M$17</f>
        <v>0</v>
      </c>
      <c r="BV36">
        <f>'Uncorrected Area Counts'!F38</f>
        <v>0</v>
      </c>
    </row>
    <row r="37" spans="1:74">
      <c r="A37" s="1">
        <v>36</v>
      </c>
      <c r="B37" s="1">
        <v>12</v>
      </c>
      <c r="C37" s="1">
        <v>3</v>
      </c>
      <c r="D37" s="1">
        <f>'Plate Planning'!$H$16</f>
        <v>0</v>
      </c>
      <c r="E37" s="1" t="str">
        <f>'Plate Planning'!$H$17</f>
        <v>LC-MS</v>
      </c>
      <c r="F37" s="1">
        <f>'Plate Planning'!$H$18</f>
        <v>500</v>
      </c>
      <c r="G37" s="1">
        <f>'Plate Planning'!$H$20</f>
        <v>25</v>
      </c>
      <c r="H37" s="1">
        <f>'Plate Planning'!$H$19</f>
        <v>24</v>
      </c>
      <c r="I37" s="1" t="b">
        <f>'Plate Planning'!$H$21</f>
        <v>1</v>
      </c>
      <c r="J37" s="1" t="str">
        <f>IF('Plate Planning'!$H$22=0, "NA",'Plate Planning'!$H$22)</f>
        <v>NA</v>
      </c>
      <c r="K37" s="1">
        <f>Reagents!$D$2</f>
        <v>0</v>
      </c>
      <c r="L37" s="1">
        <f>Reagents!$D$2</f>
        <v>0</v>
      </c>
      <c r="M37" s="1">
        <f>Reagents!$J$2</f>
        <v>0</v>
      </c>
      <c r="N37" s="1">
        <f>Reagents!$D$3</f>
        <v>0</v>
      </c>
      <c r="O37" s="1">
        <f>Reagents!$J$3</f>
        <v>0</v>
      </c>
      <c r="P37" s="1">
        <f>Reagents!$D$4</f>
        <v>0</v>
      </c>
      <c r="Q37" s="1">
        <f>Reagents!$J$4</f>
        <v>0</v>
      </c>
      <c r="R37" s="1">
        <f>Reagents!$D$5</f>
        <v>0</v>
      </c>
      <c r="S37" s="1">
        <f>Reagents!$J$5</f>
        <v>0</v>
      </c>
      <c r="T37" s="1">
        <f>Reagents!$D$6</f>
        <v>0</v>
      </c>
      <c r="U37" s="1">
        <f>Reagents!$J$6</f>
        <v>0</v>
      </c>
      <c r="V37" s="1">
        <f>Reagents!$D$7</f>
        <v>0</v>
      </c>
      <c r="W37" s="1">
        <f>Reagents!$J$7</f>
        <v>0</v>
      </c>
      <c r="X37" s="1">
        <f>Reagents!$D$8</f>
        <v>0</v>
      </c>
      <c r="Y37" s="1">
        <f>Reagents!$J$8</f>
        <v>0</v>
      </c>
      <c r="Z37" s="1">
        <f>Reagents!$D$9</f>
        <v>0</v>
      </c>
      <c r="AA37" s="1">
        <f>Reagents!$J$9</f>
        <v>0</v>
      </c>
      <c r="AB37" s="1">
        <f>Reagents!$D$10</f>
        <v>0</v>
      </c>
      <c r="AC37" s="1">
        <f>Reagents!$J$10</f>
        <v>0</v>
      </c>
      <c r="AD37" s="1">
        <f>Reagents!$D$11</f>
        <v>0</v>
      </c>
      <c r="AE37" s="1">
        <f>Reagents!$J$11</f>
        <v>0</v>
      </c>
      <c r="AF37" t="str">
        <f>Reagents!$C$23</f>
        <v>-</v>
      </c>
      <c r="AG37">
        <f>Reagents!$D$23</f>
        <v>0</v>
      </c>
      <c r="AH37">
        <f>Reagents!$J$23</f>
        <v>0</v>
      </c>
      <c r="AI37" t="str">
        <f>Reagents!$C$35</f>
        <v>-</v>
      </c>
      <c r="AJ37">
        <f>Reagents!$D$35</f>
        <v>0</v>
      </c>
      <c r="AK37">
        <f>Reagents!$J$35</f>
        <v>0</v>
      </c>
      <c r="AL37" t="str">
        <f>Reagents!$C$38</f>
        <v>-</v>
      </c>
      <c r="AM37">
        <f>Reagents!$D$38</f>
        <v>0</v>
      </c>
      <c r="AN37">
        <f>Reagents!$J$38</f>
        <v>0</v>
      </c>
      <c r="AO37" t="str">
        <f>Reagents!$C$46</f>
        <v>-</v>
      </c>
      <c r="AP37">
        <f>Reagents!$D$46</f>
        <v>0</v>
      </c>
      <c r="AQ37">
        <f>Reagents!$J$46</f>
        <v>0</v>
      </c>
      <c r="AR37">
        <f>'Plate Planning'!$K$18</f>
        <v>0</v>
      </c>
      <c r="AS37">
        <f>'Plate Planning'!$L$18</f>
        <v>0</v>
      </c>
      <c r="AT37">
        <f>'Uncorrected Area Counts'!G39</f>
        <v>0</v>
      </c>
      <c r="AU37" t="e">
        <f>Yields!E39</f>
        <v>#DIV/0!</v>
      </c>
      <c r="AV37">
        <f>'Plate Planning'!$K$19</f>
        <v>0</v>
      </c>
      <c r="AW37">
        <f>'Plate Planning'!$L$19</f>
        <v>0</v>
      </c>
      <c r="AX37">
        <f>'Uncorrected Area Counts'!H39</f>
        <v>0</v>
      </c>
      <c r="AY37" t="e">
        <f>Yields!F39</f>
        <v>#DIV/0!</v>
      </c>
      <c r="AZ37">
        <f>'Plate Planning'!$K$20</f>
        <v>0</v>
      </c>
      <c r="BA37">
        <f>'Plate Planning'!$L$20</f>
        <v>0</v>
      </c>
      <c r="BB37">
        <f>'Uncorrected Area Counts'!I39</f>
        <v>0</v>
      </c>
      <c r="BC37" t="e">
        <f>Yields!G39</f>
        <v>#DIV/0!</v>
      </c>
      <c r="BD37">
        <f>'Plate Planning'!$K$21</f>
        <v>0</v>
      </c>
      <c r="BE37">
        <f>'Plate Planning'!$L$21</f>
        <v>0</v>
      </c>
      <c r="BF37">
        <f>'Uncorrected Area Counts'!J39</f>
        <v>0</v>
      </c>
      <c r="BG37" t="e">
        <f>Yields!H39</f>
        <v>#DIV/0!</v>
      </c>
      <c r="BH37">
        <f>'Plate Planning'!$K$22</f>
        <v>0</v>
      </c>
      <c r="BI37">
        <f>'Plate Planning'!$L$22</f>
        <v>0</v>
      </c>
      <c r="BJ37">
        <f>'Uncorrected Area Counts'!K39</f>
        <v>0</v>
      </c>
      <c r="BK37" t="e">
        <f>Yields!I39</f>
        <v>#DIV/0!</v>
      </c>
      <c r="BL37">
        <f>'Plate Planning'!$K$23</f>
        <v>0</v>
      </c>
      <c r="BM37">
        <f>'Plate Planning'!$L$23</f>
        <v>0</v>
      </c>
      <c r="BN37">
        <f>'Uncorrected Area Counts'!L39</f>
        <v>0</v>
      </c>
      <c r="BO37" t="e">
        <f>Yields!J39</f>
        <v>#DIV/0!</v>
      </c>
      <c r="BP37">
        <f>'Plate Planning'!$K$24</f>
        <v>0</v>
      </c>
      <c r="BQ37">
        <f>'Plate Planning'!$L$24</f>
        <v>0</v>
      </c>
      <c r="BR37">
        <f>'Uncorrected Area Counts'!M39</f>
        <v>0</v>
      </c>
      <c r="BS37" t="e">
        <f>Yields!K39</f>
        <v>#DIV/0!</v>
      </c>
      <c r="BT37">
        <f>'Plate Planning'!$L$17</f>
        <v>0</v>
      </c>
      <c r="BU37">
        <f>'Plate Planning'!$M$17</f>
        <v>0</v>
      </c>
      <c r="BV37">
        <f>'Uncorrected Area Counts'!F39</f>
        <v>0</v>
      </c>
    </row>
    <row r="38" spans="1:74">
      <c r="A38" s="1">
        <v>37</v>
      </c>
      <c r="B38" s="1">
        <v>1</v>
      </c>
      <c r="C38" s="1">
        <v>4</v>
      </c>
      <c r="D38" s="1">
        <f>'Plate Planning'!$H$16</f>
        <v>0</v>
      </c>
      <c r="E38" s="1" t="str">
        <f>'Plate Planning'!$H$17</f>
        <v>LC-MS</v>
      </c>
      <c r="F38" s="1">
        <f>'Plate Planning'!$H$18</f>
        <v>500</v>
      </c>
      <c r="G38" s="1">
        <f>'Plate Planning'!$H$20</f>
        <v>25</v>
      </c>
      <c r="H38" s="1">
        <f>'Plate Planning'!$H$19</f>
        <v>24</v>
      </c>
      <c r="I38" s="1" t="b">
        <f>'Plate Planning'!$H$21</f>
        <v>1</v>
      </c>
      <c r="J38" s="1" t="str">
        <f>IF('Plate Planning'!$H$22=0, "NA",'Plate Planning'!$H$22)</f>
        <v>NA</v>
      </c>
      <c r="K38" s="1">
        <f>Reagents!$D$2</f>
        <v>0</v>
      </c>
      <c r="L38" s="1">
        <f>Reagents!$D$2</f>
        <v>0</v>
      </c>
      <c r="M38" s="1">
        <f>Reagents!$J$2</f>
        <v>0</v>
      </c>
      <c r="N38" s="1">
        <f>Reagents!$D$3</f>
        <v>0</v>
      </c>
      <c r="O38" s="1">
        <f>Reagents!$J$3</f>
        <v>0</v>
      </c>
      <c r="P38" s="1">
        <f>Reagents!$D$4</f>
        <v>0</v>
      </c>
      <c r="Q38" s="1">
        <f>Reagents!$J$4</f>
        <v>0</v>
      </c>
      <c r="R38" s="1">
        <f>Reagents!$D$5</f>
        <v>0</v>
      </c>
      <c r="S38" s="1">
        <f>Reagents!$J$5</f>
        <v>0</v>
      </c>
      <c r="T38" s="1">
        <f>Reagents!$D$6</f>
        <v>0</v>
      </c>
      <c r="U38" s="1">
        <f>Reagents!$J$6</f>
        <v>0</v>
      </c>
      <c r="V38" s="1">
        <f>Reagents!$D$7</f>
        <v>0</v>
      </c>
      <c r="W38" s="1">
        <f>Reagents!$J$7</f>
        <v>0</v>
      </c>
      <c r="X38" s="1">
        <f>Reagents!$D$8</f>
        <v>0</v>
      </c>
      <c r="Y38" s="1">
        <f>Reagents!$J$8</f>
        <v>0</v>
      </c>
      <c r="Z38" s="1">
        <f>Reagents!$D$9</f>
        <v>0</v>
      </c>
      <c r="AA38" s="1">
        <f>Reagents!$J$9</f>
        <v>0</v>
      </c>
      <c r="AB38" s="1">
        <f>Reagents!$D$10</f>
        <v>0</v>
      </c>
      <c r="AC38" s="1">
        <f>Reagents!$J$10</f>
        <v>0</v>
      </c>
      <c r="AD38" s="1">
        <f>Reagents!$D$11</f>
        <v>0</v>
      </c>
      <c r="AE38" s="1">
        <f>Reagents!$J$11</f>
        <v>0</v>
      </c>
      <c r="AF38" t="str">
        <f>Reagents!$C$12</f>
        <v>-</v>
      </c>
      <c r="AG38">
        <f>Reagents!$D$12</f>
        <v>0</v>
      </c>
      <c r="AH38">
        <f>Reagents!$J$12</f>
        <v>0</v>
      </c>
      <c r="AI38" t="str">
        <f>Reagents!$C$24</f>
        <v>-</v>
      </c>
      <c r="AJ38">
        <f>Reagents!$D$24</f>
        <v>0</v>
      </c>
      <c r="AK38">
        <f>Reagents!$J$24</f>
        <v>0</v>
      </c>
      <c r="AL38" t="str">
        <f>Reagents!$C$39</f>
        <v>-</v>
      </c>
      <c r="AM38">
        <f>Reagents!$D$39</f>
        <v>0</v>
      </c>
      <c r="AN38">
        <f>Reagents!$J$39</f>
        <v>0</v>
      </c>
      <c r="AO38" t="str">
        <f>Reagents!$C$47</f>
        <v>-</v>
      </c>
      <c r="AP38">
        <f>Reagents!$D$47</f>
        <v>0</v>
      </c>
      <c r="AQ38">
        <f>Reagents!$J$47</f>
        <v>0</v>
      </c>
      <c r="AR38">
        <f>'Plate Planning'!$K$18</f>
        <v>0</v>
      </c>
      <c r="AS38">
        <f>'Plate Planning'!$L$18</f>
        <v>0</v>
      </c>
      <c r="AT38">
        <f>'Uncorrected Area Counts'!G40</f>
        <v>0</v>
      </c>
      <c r="AU38" t="e">
        <f>Yields!E40</f>
        <v>#DIV/0!</v>
      </c>
      <c r="AV38">
        <f>'Plate Planning'!$K$19</f>
        <v>0</v>
      </c>
      <c r="AW38">
        <f>'Plate Planning'!$L$19</f>
        <v>0</v>
      </c>
      <c r="AX38">
        <f>'Uncorrected Area Counts'!H40</f>
        <v>0</v>
      </c>
      <c r="AY38" t="e">
        <f>Yields!F40</f>
        <v>#DIV/0!</v>
      </c>
      <c r="AZ38">
        <f>'Plate Planning'!$K$20</f>
        <v>0</v>
      </c>
      <c r="BA38">
        <f>'Plate Planning'!$L$20</f>
        <v>0</v>
      </c>
      <c r="BB38">
        <f>'Uncorrected Area Counts'!I40</f>
        <v>0</v>
      </c>
      <c r="BC38" t="e">
        <f>Yields!G40</f>
        <v>#DIV/0!</v>
      </c>
      <c r="BD38">
        <f>'Plate Planning'!$K$21</f>
        <v>0</v>
      </c>
      <c r="BE38">
        <f>'Plate Planning'!$L$21</f>
        <v>0</v>
      </c>
      <c r="BF38">
        <f>'Uncorrected Area Counts'!J40</f>
        <v>0</v>
      </c>
      <c r="BG38" t="e">
        <f>Yields!H40</f>
        <v>#DIV/0!</v>
      </c>
      <c r="BH38">
        <f>'Plate Planning'!$K$22</f>
        <v>0</v>
      </c>
      <c r="BI38">
        <f>'Plate Planning'!$L$22</f>
        <v>0</v>
      </c>
      <c r="BJ38">
        <f>'Uncorrected Area Counts'!K40</f>
        <v>0</v>
      </c>
      <c r="BK38" t="e">
        <f>Yields!I40</f>
        <v>#DIV/0!</v>
      </c>
      <c r="BL38">
        <f>'Plate Planning'!$K$23</f>
        <v>0</v>
      </c>
      <c r="BM38">
        <f>'Plate Planning'!$L$23</f>
        <v>0</v>
      </c>
      <c r="BN38">
        <f>'Uncorrected Area Counts'!L40</f>
        <v>0</v>
      </c>
      <c r="BO38" t="e">
        <f>Yields!J40</f>
        <v>#DIV/0!</v>
      </c>
      <c r="BP38">
        <f>'Plate Planning'!$K$24</f>
        <v>0</v>
      </c>
      <c r="BQ38">
        <f>'Plate Planning'!$L$24</f>
        <v>0</v>
      </c>
      <c r="BR38">
        <f>'Uncorrected Area Counts'!M40</f>
        <v>0</v>
      </c>
      <c r="BS38" t="e">
        <f>Yields!K40</f>
        <v>#DIV/0!</v>
      </c>
      <c r="BT38">
        <f>'Plate Planning'!$L$17</f>
        <v>0</v>
      </c>
      <c r="BU38">
        <f>'Plate Planning'!$M$17</f>
        <v>0</v>
      </c>
      <c r="BV38">
        <f>'Uncorrected Area Counts'!F40</f>
        <v>0</v>
      </c>
    </row>
    <row r="39" spans="1:74">
      <c r="A39" s="1">
        <v>38</v>
      </c>
      <c r="B39" s="1">
        <v>2</v>
      </c>
      <c r="C39" s="1">
        <v>4</v>
      </c>
      <c r="D39" s="1">
        <f>'Plate Planning'!$H$16</f>
        <v>0</v>
      </c>
      <c r="E39" s="1" t="str">
        <f>'Plate Planning'!$H$17</f>
        <v>LC-MS</v>
      </c>
      <c r="F39" s="1">
        <f>'Plate Planning'!$H$18</f>
        <v>500</v>
      </c>
      <c r="G39" s="1">
        <f>'Plate Planning'!$H$20</f>
        <v>25</v>
      </c>
      <c r="H39" s="1">
        <f>'Plate Planning'!$H$19</f>
        <v>24</v>
      </c>
      <c r="I39" s="1" t="b">
        <f>'Plate Planning'!$H$21</f>
        <v>1</v>
      </c>
      <c r="J39" s="1" t="str">
        <f>IF('Plate Planning'!$H$22=0, "NA",'Plate Planning'!$H$22)</f>
        <v>NA</v>
      </c>
      <c r="K39" s="1">
        <f>Reagents!$D$2</f>
        <v>0</v>
      </c>
      <c r="L39" s="1">
        <f>Reagents!$D$2</f>
        <v>0</v>
      </c>
      <c r="M39" s="1">
        <f>Reagents!$J$2</f>
        <v>0</v>
      </c>
      <c r="N39" s="1">
        <f>Reagents!$D$3</f>
        <v>0</v>
      </c>
      <c r="O39" s="1">
        <f>Reagents!$J$3</f>
        <v>0</v>
      </c>
      <c r="P39" s="1">
        <f>Reagents!$D$4</f>
        <v>0</v>
      </c>
      <c r="Q39" s="1">
        <f>Reagents!$J$4</f>
        <v>0</v>
      </c>
      <c r="R39" s="1">
        <f>Reagents!$D$5</f>
        <v>0</v>
      </c>
      <c r="S39" s="1">
        <f>Reagents!$J$5</f>
        <v>0</v>
      </c>
      <c r="T39" s="1">
        <f>Reagents!$D$6</f>
        <v>0</v>
      </c>
      <c r="U39" s="1">
        <f>Reagents!$J$6</f>
        <v>0</v>
      </c>
      <c r="V39" s="1">
        <f>Reagents!$D$7</f>
        <v>0</v>
      </c>
      <c r="W39" s="1">
        <f>Reagents!$J$7</f>
        <v>0</v>
      </c>
      <c r="X39" s="1">
        <f>Reagents!$D$8</f>
        <v>0</v>
      </c>
      <c r="Y39" s="1">
        <f>Reagents!$J$8</f>
        <v>0</v>
      </c>
      <c r="Z39" s="1">
        <f>Reagents!$D$9</f>
        <v>0</v>
      </c>
      <c r="AA39" s="1">
        <f>Reagents!$J$9</f>
        <v>0</v>
      </c>
      <c r="AB39" s="1">
        <f>Reagents!$D$10</f>
        <v>0</v>
      </c>
      <c r="AC39" s="1">
        <f>Reagents!$J$10</f>
        <v>0</v>
      </c>
      <c r="AD39" s="1">
        <f>Reagents!$D$11</f>
        <v>0</v>
      </c>
      <c r="AE39" s="1">
        <f>Reagents!$J$11</f>
        <v>0</v>
      </c>
      <c r="AF39" t="str">
        <f>Reagents!$C$13</f>
        <v>-</v>
      </c>
      <c r="AG39">
        <f>Reagents!$D$13</f>
        <v>0</v>
      </c>
      <c r="AH39">
        <f>Reagents!$J$13</f>
        <v>0</v>
      </c>
      <c r="AI39" t="str">
        <f>Reagents!$C$25</f>
        <v>-</v>
      </c>
      <c r="AJ39">
        <f>Reagents!$D$25</f>
        <v>0</v>
      </c>
      <c r="AK39">
        <f>Reagents!$J$25</f>
        <v>0</v>
      </c>
      <c r="AL39" t="str">
        <f>Reagents!$C$39</f>
        <v>-</v>
      </c>
      <c r="AM39">
        <f>Reagents!$D$39</f>
        <v>0</v>
      </c>
      <c r="AN39">
        <f>Reagents!$J$39</f>
        <v>0</v>
      </c>
      <c r="AO39" t="str">
        <f>Reagents!$C$47</f>
        <v>-</v>
      </c>
      <c r="AP39">
        <f>Reagents!$D$47</f>
        <v>0</v>
      </c>
      <c r="AQ39">
        <f>Reagents!$J$47</f>
        <v>0</v>
      </c>
      <c r="AR39">
        <f>'Plate Planning'!$K$18</f>
        <v>0</v>
      </c>
      <c r="AS39">
        <f>'Plate Planning'!$L$18</f>
        <v>0</v>
      </c>
      <c r="AT39">
        <f>'Uncorrected Area Counts'!G41</f>
        <v>0</v>
      </c>
      <c r="AU39" t="e">
        <f>Yields!E41</f>
        <v>#DIV/0!</v>
      </c>
      <c r="AV39">
        <f>'Plate Planning'!$K$19</f>
        <v>0</v>
      </c>
      <c r="AW39">
        <f>'Plate Planning'!$L$19</f>
        <v>0</v>
      </c>
      <c r="AX39">
        <f>'Uncorrected Area Counts'!H41</f>
        <v>0</v>
      </c>
      <c r="AY39" t="e">
        <f>Yields!F41</f>
        <v>#DIV/0!</v>
      </c>
      <c r="AZ39">
        <f>'Plate Planning'!$K$20</f>
        <v>0</v>
      </c>
      <c r="BA39">
        <f>'Plate Planning'!$L$20</f>
        <v>0</v>
      </c>
      <c r="BB39">
        <f>'Uncorrected Area Counts'!I41</f>
        <v>0</v>
      </c>
      <c r="BC39" t="e">
        <f>Yields!G41</f>
        <v>#DIV/0!</v>
      </c>
      <c r="BD39">
        <f>'Plate Planning'!$K$21</f>
        <v>0</v>
      </c>
      <c r="BE39">
        <f>'Plate Planning'!$L$21</f>
        <v>0</v>
      </c>
      <c r="BF39">
        <f>'Uncorrected Area Counts'!J41</f>
        <v>0</v>
      </c>
      <c r="BG39" t="e">
        <f>Yields!H41</f>
        <v>#DIV/0!</v>
      </c>
      <c r="BH39">
        <f>'Plate Planning'!$K$22</f>
        <v>0</v>
      </c>
      <c r="BI39">
        <f>'Plate Planning'!$L$22</f>
        <v>0</v>
      </c>
      <c r="BJ39">
        <f>'Uncorrected Area Counts'!K41</f>
        <v>0</v>
      </c>
      <c r="BK39" t="e">
        <f>Yields!I41</f>
        <v>#DIV/0!</v>
      </c>
      <c r="BL39">
        <f>'Plate Planning'!$K$23</f>
        <v>0</v>
      </c>
      <c r="BM39">
        <f>'Plate Planning'!$L$23</f>
        <v>0</v>
      </c>
      <c r="BN39">
        <f>'Uncorrected Area Counts'!L41</f>
        <v>0</v>
      </c>
      <c r="BO39" t="e">
        <f>Yields!J41</f>
        <v>#DIV/0!</v>
      </c>
      <c r="BP39">
        <f>'Plate Planning'!$K$24</f>
        <v>0</v>
      </c>
      <c r="BQ39">
        <f>'Plate Planning'!$L$24</f>
        <v>0</v>
      </c>
      <c r="BR39">
        <f>'Uncorrected Area Counts'!M41</f>
        <v>0</v>
      </c>
      <c r="BS39" t="e">
        <f>Yields!K41</f>
        <v>#DIV/0!</v>
      </c>
      <c r="BT39">
        <f>'Plate Planning'!$L$17</f>
        <v>0</v>
      </c>
      <c r="BU39">
        <f>'Plate Planning'!$M$17</f>
        <v>0</v>
      </c>
      <c r="BV39">
        <f>'Uncorrected Area Counts'!F41</f>
        <v>0</v>
      </c>
    </row>
    <row r="40" spans="1:74">
      <c r="A40" s="1">
        <v>39</v>
      </c>
      <c r="B40" s="1">
        <v>3</v>
      </c>
      <c r="C40" s="1">
        <v>4</v>
      </c>
      <c r="D40" s="1">
        <f>'Plate Planning'!$H$16</f>
        <v>0</v>
      </c>
      <c r="E40" s="1" t="str">
        <f>'Plate Planning'!$H$17</f>
        <v>LC-MS</v>
      </c>
      <c r="F40" s="1">
        <f>'Plate Planning'!$H$18</f>
        <v>500</v>
      </c>
      <c r="G40" s="1">
        <f>'Plate Planning'!$H$20</f>
        <v>25</v>
      </c>
      <c r="H40" s="1">
        <f>'Plate Planning'!$H$19</f>
        <v>24</v>
      </c>
      <c r="I40" s="1" t="b">
        <f>'Plate Planning'!$H$21</f>
        <v>1</v>
      </c>
      <c r="J40" s="1" t="str">
        <f>IF('Plate Planning'!$H$22=0, "NA",'Plate Planning'!$H$22)</f>
        <v>NA</v>
      </c>
      <c r="K40" s="1">
        <f>Reagents!$D$2</f>
        <v>0</v>
      </c>
      <c r="L40" s="1">
        <f>Reagents!$D$2</f>
        <v>0</v>
      </c>
      <c r="M40" s="1">
        <f>Reagents!$J$2</f>
        <v>0</v>
      </c>
      <c r="N40" s="1">
        <f>Reagents!$D$3</f>
        <v>0</v>
      </c>
      <c r="O40" s="1">
        <f>Reagents!$J$3</f>
        <v>0</v>
      </c>
      <c r="P40" s="1">
        <f>Reagents!$D$4</f>
        <v>0</v>
      </c>
      <c r="Q40" s="1">
        <f>Reagents!$J$4</f>
        <v>0</v>
      </c>
      <c r="R40" s="1">
        <f>Reagents!$D$5</f>
        <v>0</v>
      </c>
      <c r="S40" s="1">
        <f>Reagents!$J$5</f>
        <v>0</v>
      </c>
      <c r="T40" s="1">
        <f>Reagents!$D$6</f>
        <v>0</v>
      </c>
      <c r="U40" s="1">
        <f>Reagents!$J$6</f>
        <v>0</v>
      </c>
      <c r="V40" s="1">
        <f>Reagents!$D$7</f>
        <v>0</v>
      </c>
      <c r="W40" s="1">
        <f>Reagents!$J$7</f>
        <v>0</v>
      </c>
      <c r="X40" s="1">
        <f>Reagents!$D$8</f>
        <v>0</v>
      </c>
      <c r="Y40" s="1">
        <f>Reagents!$J$8</f>
        <v>0</v>
      </c>
      <c r="Z40" s="1">
        <f>Reagents!$D$9</f>
        <v>0</v>
      </c>
      <c r="AA40" s="1">
        <f>Reagents!$J$9</f>
        <v>0</v>
      </c>
      <c r="AB40" s="1">
        <f>Reagents!$D$10</f>
        <v>0</v>
      </c>
      <c r="AC40" s="1">
        <f>Reagents!$J$10</f>
        <v>0</v>
      </c>
      <c r="AD40" s="1">
        <f>Reagents!$D$11</f>
        <v>0</v>
      </c>
      <c r="AE40" s="1">
        <f>Reagents!$J$11</f>
        <v>0</v>
      </c>
      <c r="AF40" t="str">
        <f>Reagents!$C$14</f>
        <v>-</v>
      </c>
      <c r="AG40">
        <f>Reagents!$D$14</f>
        <v>0</v>
      </c>
      <c r="AH40">
        <f>Reagents!$J$14</f>
        <v>0</v>
      </c>
      <c r="AI40" t="str">
        <f>Reagents!$C$26</f>
        <v>-</v>
      </c>
      <c r="AJ40">
        <f>Reagents!$D$26</f>
        <v>0</v>
      </c>
      <c r="AK40">
        <f>Reagents!$J$26</f>
        <v>0</v>
      </c>
      <c r="AL40" t="str">
        <f>Reagents!$C$39</f>
        <v>-</v>
      </c>
      <c r="AM40">
        <f>Reagents!$D$39</f>
        <v>0</v>
      </c>
      <c r="AN40">
        <f>Reagents!$J$39</f>
        <v>0</v>
      </c>
      <c r="AO40" t="str">
        <f>Reagents!$C$47</f>
        <v>-</v>
      </c>
      <c r="AP40">
        <f>Reagents!$D$47</f>
        <v>0</v>
      </c>
      <c r="AQ40">
        <f>Reagents!$J$47</f>
        <v>0</v>
      </c>
      <c r="AR40">
        <f>'Plate Planning'!$K$18</f>
        <v>0</v>
      </c>
      <c r="AS40">
        <f>'Plate Planning'!$L$18</f>
        <v>0</v>
      </c>
      <c r="AT40">
        <f>'Uncorrected Area Counts'!G42</f>
        <v>0</v>
      </c>
      <c r="AU40" t="e">
        <f>Yields!E42</f>
        <v>#DIV/0!</v>
      </c>
      <c r="AV40">
        <f>'Plate Planning'!$K$19</f>
        <v>0</v>
      </c>
      <c r="AW40">
        <f>'Plate Planning'!$L$19</f>
        <v>0</v>
      </c>
      <c r="AX40">
        <f>'Uncorrected Area Counts'!H42</f>
        <v>0</v>
      </c>
      <c r="AY40" t="e">
        <f>Yields!F42</f>
        <v>#DIV/0!</v>
      </c>
      <c r="AZ40">
        <f>'Plate Planning'!$K$20</f>
        <v>0</v>
      </c>
      <c r="BA40">
        <f>'Plate Planning'!$L$20</f>
        <v>0</v>
      </c>
      <c r="BB40">
        <f>'Uncorrected Area Counts'!I42</f>
        <v>0</v>
      </c>
      <c r="BC40" t="e">
        <f>Yields!G42</f>
        <v>#DIV/0!</v>
      </c>
      <c r="BD40">
        <f>'Plate Planning'!$K$21</f>
        <v>0</v>
      </c>
      <c r="BE40">
        <f>'Plate Planning'!$L$21</f>
        <v>0</v>
      </c>
      <c r="BF40">
        <f>'Uncorrected Area Counts'!J42</f>
        <v>0</v>
      </c>
      <c r="BG40" t="e">
        <f>Yields!H42</f>
        <v>#DIV/0!</v>
      </c>
      <c r="BH40">
        <f>'Plate Planning'!$K$22</f>
        <v>0</v>
      </c>
      <c r="BI40">
        <f>'Plate Planning'!$L$22</f>
        <v>0</v>
      </c>
      <c r="BJ40">
        <f>'Uncorrected Area Counts'!K42</f>
        <v>0</v>
      </c>
      <c r="BK40" t="e">
        <f>Yields!I42</f>
        <v>#DIV/0!</v>
      </c>
      <c r="BL40">
        <f>'Plate Planning'!$K$23</f>
        <v>0</v>
      </c>
      <c r="BM40">
        <f>'Plate Planning'!$L$23</f>
        <v>0</v>
      </c>
      <c r="BN40">
        <f>'Uncorrected Area Counts'!L42</f>
        <v>0</v>
      </c>
      <c r="BO40" t="e">
        <f>Yields!J42</f>
        <v>#DIV/0!</v>
      </c>
      <c r="BP40">
        <f>'Plate Planning'!$K$24</f>
        <v>0</v>
      </c>
      <c r="BQ40">
        <f>'Plate Planning'!$L$24</f>
        <v>0</v>
      </c>
      <c r="BR40">
        <f>'Uncorrected Area Counts'!M42</f>
        <v>0</v>
      </c>
      <c r="BS40" t="e">
        <f>Yields!K42</f>
        <v>#DIV/0!</v>
      </c>
      <c r="BT40">
        <f>'Plate Planning'!$L$17</f>
        <v>0</v>
      </c>
      <c r="BU40">
        <f>'Plate Planning'!$M$17</f>
        <v>0</v>
      </c>
      <c r="BV40">
        <f>'Uncorrected Area Counts'!F42</f>
        <v>0</v>
      </c>
    </row>
    <row r="41" spans="1:74">
      <c r="A41" s="1">
        <v>40</v>
      </c>
      <c r="B41" s="1">
        <v>4</v>
      </c>
      <c r="C41" s="1">
        <v>4</v>
      </c>
      <c r="D41" s="1">
        <f>'Plate Planning'!$H$16</f>
        <v>0</v>
      </c>
      <c r="E41" s="1" t="str">
        <f>'Plate Planning'!$H$17</f>
        <v>LC-MS</v>
      </c>
      <c r="F41" s="1">
        <f>'Plate Planning'!$H$18</f>
        <v>500</v>
      </c>
      <c r="G41" s="1">
        <f>'Plate Planning'!$H$20</f>
        <v>25</v>
      </c>
      <c r="H41" s="1">
        <f>'Plate Planning'!$H$19</f>
        <v>24</v>
      </c>
      <c r="I41" s="1" t="b">
        <f>'Plate Planning'!$H$21</f>
        <v>1</v>
      </c>
      <c r="J41" s="1" t="str">
        <f>IF('Plate Planning'!$H$22=0, "NA",'Plate Planning'!$H$22)</f>
        <v>NA</v>
      </c>
      <c r="K41" s="1">
        <f>Reagents!$D$2</f>
        <v>0</v>
      </c>
      <c r="L41" s="1">
        <f>Reagents!$D$2</f>
        <v>0</v>
      </c>
      <c r="M41" s="1">
        <f>Reagents!$J$2</f>
        <v>0</v>
      </c>
      <c r="N41" s="1">
        <f>Reagents!$D$3</f>
        <v>0</v>
      </c>
      <c r="O41" s="1">
        <f>Reagents!$J$3</f>
        <v>0</v>
      </c>
      <c r="P41" s="1">
        <f>Reagents!$D$4</f>
        <v>0</v>
      </c>
      <c r="Q41" s="1">
        <f>Reagents!$J$4</f>
        <v>0</v>
      </c>
      <c r="R41" s="1">
        <f>Reagents!$D$5</f>
        <v>0</v>
      </c>
      <c r="S41" s="1">
        <f>Reagents!$J$5</f>
        <v>0</v>
      </c>
      <c r="T41" s="1">
        <f>Reagents!$D$6</f>
        <v>0</v>
      </c>
      <c r="U41" s="1">
        <f>Reagents!$J$6</f>
        <v>0</v>
      </c>
      <c r="V41" s="1">
        <f>Reagents!$D$7</f>
        <v>0</v>
      </c>
      <c r="W41" s="1">
        <f>Reagents!$J$7</f>
        <v>0</v>
      </c>
      <c r="X41" s="1">
        <f>Reagents!$D$8</f>
        <v>0</v>
      </c>
      <c r="Y41" s="1">
        <f>Reagents!$J$8</f>
        <v>0</v>
      </c>
      <c r="Z41" s="1">
        <f>Reagents!$D$9</f>
        <v>0</v>
      </c>
      <c r="AA41" s="1">
        <f>Reagents!$J$9</f>
        <v>0</v>
      </c>
      <c r="AB41" s="1">
        <f>Reagents!$D$10</f>
        <v>0</v>
      </c>
      <c r="AC41" s="1">
        <f>Reagents!$J$10</f>
        <v>0</v>
      </c>
      <c r="AD41" s="1">
        <f>Reagents!$D$11</f>
        <v>0</v>
      </c>
      <c r="AE41" s="1">
        <f>Reagents!$J$11</f>
        <v>0</v>
      </c>
      <c r="AF41" t="str">
        <f>Reagents!$C$15</f>
        <v>-</v>
      </c>
      <c r="AG41">
        <f>Reagents!$D$15</f>
        <v>0</v>
      </c>
      <c r="AH41">
        <f>Reagents!$J$15</f>
        <v>0</v>
      </c>
      <c r="AI41" t="str">
        <f>Reagents!$C$27</f>
        <v>-</v>
      </c>
      <c r="AJ41">
        <f>Reagents!$D$27</f>
        <v>0</v>
      </c>
      <c r="AK41">
        <f>Reagents!$J$27</f>
        <v>0</v>
      </c>
      <c r="AL41" t="str">
        <f>Reagents!$C$39</f>
        <v>-</v>
      </c>
      <c r="AM41">
        <f>Reagents!$D$39</f>
        <v>0</v>
      </c>
      <c r="AN41">
        <f>Reagents!$J$39</f>
        <v>0</v>
      </c>
      <c r="AO41" t="str">
        <f>Reagents!$C$47</f>
        <v>-</v>
      </c>
      <c r="AP41">
        <f>Reagents!$D$47</f>
        <v>0</v>
      </c>
      <c r="AQ41">
        <f>Reagents!$J$47</f>
        <v>0</v>
      </c>
      <c r="AR41">
        <f>'Plate Planning'!$K$18</f>
        <v>0</v>
      </c>
      <c r="AS41">
        <f>'Plate Planning'!$L$18</f>
        <v>0</v>
      </c>
      <c r="AT41">
        <f>'Uncorrected Area Counts'!G43</f>
        <v>0</v>
      </c>
      <c r="AU41" t="e">
        <f>Yields!E43</f>
        <v>#DIV/0!</v>
      </c>
      <c r="AV41">
        <f>'Plate Planning'!$K$19</f>
        <v>0</v>
      </c>
      <c r="AW41">
        <f>'Plate Planning'!$L$19</f>
        <v>0</v>
      </c>
      <c r="AX41">
        <f>'Uncorrected Area Counts'!H43</f>
        <v>0</v>
      </c>
      <c r="AY41" t="e">
        <f>Yields!F43</f>
        <v>#DIV/0!</v>
      </c>
      <c r="AZ41">
        <f>'Plate Planning'!$K$20</f>
        <v>0</v>
      </c>
      <c r="BA41">
        <f>'Plate Planning'!$L$20</f>
        <v>0</v>
      </c>
      <c r="BB41">
        <f>'Uncorrected Area Counts'!I43</f>
        <v>0</v>
      </c>
      <c r="BC41" t="e">
        <f>Yields!G43</f>
        <v>#DIV/0!</v>
      </c>
      <c r="BD41">
        <f>'Plate Planning'!$K$21</f>
        <v>0</v>
      </c>
      <c r="BE41">
        <f>'Plate Planning'!$L$21</f>
        <v>0</v>
      </c>
      <c r="BF41">
        <f>'Uncorrected Area Counts'!J43</f>
        <v>0</v>
      </c>
      <c r="BG41" t="e">
        <f>Yields!H43</f>
        <v>#DIV/0!</v>
      </c>
      <c r="BH41">
        <f>'Plate Planning'!$K$22</f>
        <v>0</v>
      </c>
      <c r="BI41">
        <f>'Plate Planning'!$L$22</f>
        <v>0</v>
      </c>
      <c r="BJ41">
        <f>'Uncorrected Area Counts'!K43</f>
        <v>0</v>
      </c>
      <c r="BK41" t="e">
        <f>Yields!I43</f>
        <v>#DIV/0!</v>
      </c>
      <c r="BL41">
        <f>'Plate Planning'!$K$23</f>
        <v>0</v>
      </c>
      <c r="BM41">
        <f>'Plate Planning'!$L$23</f>
        <v>0</v>
      </c>
      <c r="BN41">
        <f>'Uncorrected Area Counts'!L43</f>
        <v>0</v>
      </c>
      <c r="BO41" t="e">
        <f>Yields!J43</f>
        <v>#DIV/0!</v>
      </c>
      <c r="BP41">
        <f>'Plate Planning'!$K$24</f>
        <v>0</v>
      </c>
      <c r="BQ41">
        <f>'Plate Planning'!$L$24</f>
        <v>0</v>
      </c>
      <c r="BR41">
        <f>'Uncorrected Area Counts'!M43</f>
        <v>0</v>
      </c>
      <c r="BS41" t="e">
        <f>Yields!K43</f>
        <v>#DIV/0!</v>
      </c>
      <c r="BT41">
        <f>'Plate Planning'!$L$17</f>
        <v>0</v>
      </c>
      <c r="BU41">
        <f>'Plate Planning'!$M$17</f>
        <v>0</v>
      </c>
      <c r="BV41">
        <f>'Uncorrected Area Counts'!F43</f>
        <v>0</v>
      </c>
    </row>
    <row r="42" spans="1:74">
      <c r="A42" s="1">
        <v>41</v>
      </c>
      <c r="B42" s="1">
        <v>5</v>
      </c>
      <c r="C42" s="1">
        <v>4</v>
      </c>
      <c r="D42" s="1">
        <f>'Plate Planning'!$H$16</f>
        <v>0</v>
      </c>
      <c r="E42" s="1" t="str">
        <f>'Plate Planning'!$H$17</f>
        <v>LC-MS</v>
      </c>
      <c r="F42" s="1">
        <f>'Plate Planning'!$H$18</f>
        <v>500</v>
      </c>
      <c r="G42" s="1">
        <f>'Plate Planning'!$H$20</f>
        <v>25</v>
      </c>
      <c r="H42" s="1">
        <f>'Plate Planning'!$H$19</f>
        <v>24</v>
      </c>
      <c r="I42" s="1" t="b">
        <f>'Plate Planning'!$H$21</f>
        <v>1</v>
      </c>
      <c r="J42" s="1" t="str">
        <f>IF('Plate Planning'!$H$22=0, "NA",'Plate Planning'!$H$22)</f>
        <v>NA</v>
      </c>
      <c r="K42" s="1">
        <f>Reagents!$D$2</f>
        <v>0</v>
      </c>
      <c r="L42" s="1">
        <f>Reagents!$D$2</f>
        <v>0</v>
      </c>
      <c r="M42" s="1">
        <f>Reagents!$J$2</f>
        <v>0</v>
      </c>
      <c r="N42" s="1">
        <f>Reagents!$D$3</f>
        <v>0</v>
      </c>
      <c r="O42" s="1">
        <f>Reagents!$J$3</f>
        <v>0</v>
      </c>
      <c r="P42" s="1">
        <f>Reagents!$D$4</f>
        <v>0</v>
      </c>
      <c r="Q42" s="1">
        <f>Reagents!$J$4</f>
        <v>0</v>
      </c>
      <c r="R42" s="1">
        <f>Reagents!$D$5</f>
        <v>0</v>
      </c>
      <c r="S42" s="1">
        <f>Reagents!$J$5</f>
        <v>0</v>
      </c>
      <c r="T42" s="1">
        <f>Reagents!$D$6</f>
        <v>0</v>
      </c>
      <c r="U42" s="1">
        <f>Reagents!$J$6</f>
        <v>0</v>
      </c>
      <c r="V42" s="1">
        <f>Reagents!$D$7</f>
        <v>0</v>
      </c>
      <c r="W42" s="1">
        <f>Reagents!$J$7</f>
        <v>0</v>
      </c>
      <c r="X42" s="1">
        <f>Reagents!$D$8</f>
        <v>0</v>
      </c>
      <c r="Y42" s="1">
        <f>Reagents!$J$8</f>
        <v>0</v>
      </c>
      <c r="Z42" s="1">
        <f>Reagents!$D$9</f>
        <v>0</v>
      </c>
      <c r="AA42" s="1">
        <f>Reagents!$J$9</f>
        <v>0</v>
      </c>
      <c r="AB42" s="1">
        <f>Reagents!$D$10</f>
        <v>0</v>
      </c>
      <c r="AC42" s="1">
        <f>Reagents!$J$10</f>
        <v>0</v>
      </c>
      <c r="AD42" s="1">
        <f>Reagents!$D$11</f>
        <v>0</v>
      </c>
      <c r="AE42" s="1">
        <f>Reagents!$J$11</f>
        <v>0</v>
      </c>
      <c r="AF42" t="str">
        <f>Reagents!$C$16</f>
        <v>-</v>
      </c>
      <c r="AG42">
        <f>Reagents!$D$16</f>
        <v>0</v>
      </c>
      <c r="AH42">
        <f>Reagents!$J$16</f>
        <v>0</v>
      </c>
      <c r="AI42" t="str">
        <f>Reagents!$C$28</f>
        <v>-</v>
      </c>
      <c r="AJ42">
        <f>Reagents!$D$28</f>
        <v>0</v>
      </c>
      <c r="AK42">
        <f>Reagents!$J$28</f>
        <v>0</v>
      </c>
      <c r="AL42" t="str">
        <f>Reagents!$C$39</f>
        <v>-</v>
      </c>
      <c r="AM42">
        <f>Reagents!$D$39</f>
        <v>0</v>
      </c>
      <c r="AN42">
        <f>Reagents!$J$39</f>
        <v>0</v>
      </c>
      <c r="AO42" t="str">
        <f>Reagents!$C$47</f>
        <v>-</v>
      </c>
      <c r="AP42">
        <f>Reagents!$D$47</f>
        <v>0</v>
      </c>
      <c r="AQ42">
        <f>Reagents!$J$47</f>
        <v>0</v>
      </c>
      <c r="AR42">
        <f>'Plate Planning'!$K$18</f>
        <v>0</v>
      </c>
      <c r="AS42">
        <f>'Plate Planning'!$L$18</f>
        <v>0</v>
      </c>
      <c r="AT42">
        <f>'Uncorrected Area Counts'!G44</f>
        <v>0</v>
      </c>
      <c r="AU42" t="e">
        <f>Yields!E44</f>
        <v>#DIV/0!</v>
      </c>
      <c r="AV42">
        <f>'Plate Planning'!$K$19</f>
        <v>0</v>
      </c>
      <c r="AW42">
        <f>'Plate Planning'!$L$19</f>
        <v>0</v>
      </c>
      <c r="AX42">
        <f>'Uncorrected Area Counts'!H44</f>
        <v>0</v>
      </c>
      <c r="AY42" t="e">
        <f>Yields!F44</f>
        <v>#DIV/0!</v>
      </c>
      <c r="AZ42">
        <f>'Plate Planning'!$K$20</f>
        <v>0</v>
      </c>
      <c r="BA42">
        <f>'Plate Planning'!$L$20</f>
        <v>0</v>
      </c>
      <c r="BB42">
        <f>'Uncorrected Area Counts'!I44</f>
        <v>0</v>
      </c>
      <c r="BC42" t="e">
        <f>Yields!G44</f>
        <v>#DIV/0!</v>
      </c>
      <c r="BD42">
        <f>'Plate Planning'!$K$21</f>
        <v>0</v>
      </c>
      <c r="BE42">
        <f>'Plate Planning'!$L$21</f>
        <v>0</v>
      </c>
      <c r="BF42">
        <f>'Uncorrected Area Counts'!J44</f>
        <v>0</v>
      </c>
      <c r="BG42" t="e">
        <f>Yields!H44</f>
        <v>#DIV/0!</v>
      </c>
      <c r="BH42">
        <f>'Plate Planning'!$K$22</f>
        <v>0</v>
      </c>
      <c r="BI42">
        <f>'Plate Planning'!$L$22</f>
        <v>0</v>
      </c>
      <c r="BJ42">
        <f>'Uncorrected Area Counts'!K44</f>
        <v>0</v>
      </c>
      <c r="BK42" t="e">
        <f>Yields!I44</f>
        <v>#DIV/0!</v>
      </c>
      <c r="BL42">
        <f>'Plate Planning'!$K$23</f>
        <v>0</v>
      </c>
      <c r="BM42">
        <f>'Plate Planning'!$L$23</f>
        <v>0</v>
      </c>
      <c r="BN42">
        <f>'Uncorrected Area Counts'!L44</f>
        <v>0</v>
      </c>
      <c r="BO42" t="e">
        <f>Yields!J44</f>
        <v>#DIV/0!</v>
      </c>
      <c r="BP42">
        <f>'Plate Planning'!$K$24</f>
        <v>0</v>
      </c>
      <c r="BQ42">
        <f>'Plate Planning'!$L$24</f>
        <v>0</v>
      </c>
      <c r="BR42">
        <f>'Uncorrected Area Counts'!M44</f>
        <v>0</v>
      </c>
      <c r="BS42" t="e">
        <f>Yields!K44</f>
        <v>#DIV/0!</v>
      </c>
      <c r="BT42">
        <f>'Plate Planning'!$L$17</f>
        <v>0</v>
      </c>
      <c r="BU42">
        <f>'Plate Planning'!$M$17</f>
        <v>0</v>
      </c>
      <c r="BV42">
        <f>'Uncorrected Area Counts'!F44</f>
        <v>0</v>
      </c>
    </row>
    <row r="43" spans="1:74">
      <c r="A43" s="1">
        <v>42</v>
      </c>
      <c r="B43" s="1">
        <v>6</v>
      </c>
      <c r="C43" s="1">
        <v>4</v>
      </c>
      <c r="D43" s="1">
        <f>'Plate Planning'!$H$16</f>
        <v>0</v>
      </c>
      <c r="E43" s="1" t="str">
        <f>'Plate Planning'!$H$17</f>
        <v>LC-MS</v>
      </c>
      <c r="F43" s="1">
        <f>'Plate Planning'!$H$18</f>
        <v>500</v>
      </c>
      <c r="G43" s="1">
        <f>'Plate Planning'!$H$20</f>
        <v>25</v>
      </c>
      <c r="H43" s="1">
        <f>'Plate Planning'!$H$19</f>
        <v>24</v>
      </c>
      <c r="I43" s="1" t="b">
        <f>'Plate Planning'!$H$21</f>
        <v>1</v>
      </c>
      <c r="J43" s="1" t="str">
        <f>IF('Plate Planning'!$H$22=0, "NA",'Plate Planning'!$H$22)</f>
        <v>NA</v>
      </c>
      <c r="K43" s="1">
        <f>Reagents!$D$2</f>
        <v>0</v>
      </c>
      <c r="L43" s="1">
        <f>Reagents!$D$2</f>
        <v>0</v>
      </c>
      <c r="M43" s="1">
        <f>Reagents!$J$2</f>
        <v>0</v>
      </c>
      <c r="N43" s="1">
        <f>Reagents!$D$3</f>
        <v>0</v>
      </c>
      <c r="O43" s="1">
        <f>Reagents!$J$3</f>
        <v>0</v>
      </c>
      <c r="P43" s="1">
        <f>Reagents!$D$4</f>
        <v>0</v>
      </c>
      <c r="Q43" s="1">
        <f>Reagents!$J$4</f>
        <v>0</v>
      </c>
      <c r="R43" s="1">
        <f>Reagents!$D$5</f>
        <v>0</v>
      </c>
      <c r="S43" s="1">
        <f>Reagents!$J$5</f>
        <v>0</v>
      </c>
      <c r="T43" s="1">
        <f>Reagents!$D$6</f>
        <v>0</v>
      </c>
      <c r="U43" s="1">
        <f>Reagents!$J$6</f>
        <v>0</v>
      </c>
      <c r="V43" s="1">
        <f>Reagents!$D$7</f>
        <v>0</v>
      </c>
      <c r="W43" s="1">
        <f>Reagents!$J$7</f>
        <v>0</v>
      </c>
      <c r="X43" s="1">
        <f>Reagents!$D$8</f>
        <v>0</v>
      </c>
      <c r="Y43" s="1">
        <f>Reagents!$J$8</f>
        <v>0</v>
      </c>
      <c r="Z43" s="1">
        <f>Reagents!$D$9</f>
        <v>0</v>
      </c>
      <c r="AA43" s="1">
        <f>Reagents!$J$9</f>
        <v>0</v>
      </c>
      <c r="AB43" s="1">
        <f>Reagents!$D$10</f>
        <v>0</v>
      </c>
      <c r="AC43" s="1">
        <f>Reagents!$J$10</f>
        <v>0</v>
      </c>
      <c r="AD43" s="1">
        <f>Reagents!$D$11</f>
        <v>0</v>
      </c>
      <c r="AE43" s="1">
        <f>Reagents!$J$11</f>
        <v>0</v>
      </c>
      <c r="AF43" t="str">
        <f>Reagents!$C$17</f>
        <v>-</v>
      </c>
      <c r="AG43">
        <f>Reagents!$D$17</f>
        <v>0</v>
      </c>
      <c r="AH43">
        <f>Reagents!$J$17</f>
        <v>0</v>
      </c>
      <c r="AI43" t="str">
        <f>Reagents!$C$29</f>
        <v>-</v>
      </c>
      <c r="AJ43">
        <f>Reagents!$D$29</f>
        <v>0</v>
      </c>
      <c r="AK43">
        <f>Reagents!$J$29</f>
        <v>0</v>
      </c>
      <c r="AL43" t="str">
        <f>Reagents!$C$39</f>
        <v>-</v>
      </c>
      <c r="AM43">
        <f>Reagents!$D$39</f>
        <v>0</v>
      </c>
      <c r="AN43">
        <f>Reagents!$J$39</f>
        <v>0</v>
      </c>
      <c r="AO43" t="str">
        <f>Reagents!$C$47</f>
        <v>-</v>
      </c>
      <c r="AP43">
        <f>Reagents!$D$47</f>
        <v>0</v>
      </c>
      <c r="AQ43">
        <f>Reagents!$J$47</f>
        <v>0</v>
      </c>
      <c r="AR43">
        <f>'Plate Planning'!$K$18</f>
        <v>0</v>
      </c>
      <c r="AS43">
        <f>'Plate Planning'!$L$18</f>
        <v>0</v>
      </c>
      <c r="AT43">
        <f>'Uncorrected Area Counts'!G45</f>
        <v>0</v>
      </c>
      <c r="AU43" t="e">
        <f>Yields!E45</f>
        <v>#DIV/0!</v>
      </c>
      <c r="AV43">
        <f>'Plate Planning'!$K$19</f>
        <v>0</v>
      </c>
      <c r="AW43">
        <f>'Plate Planning'!$L$19</f>
        <v>0</v>
      </c>
      <c r="AX43">
        <f>'Uncorrected Area Counts'!H45</f>
        <v>0</v>
      </c>
      <c r="AY43" t="e">
        <f>Yields!F45</f>
        <v>#DIV/0!</v>
      </c>
      <c r="AZ43">
        <f>'Plate Planning'!$K$20</f>
        <v>0</v>
      </c>
      <c r="BA43">
        <f>'Plate Planning'!$L$20</f>
        <v>0</v>
      </c>
      <c r="BB43">
        <f>'Uncorrected Area Counts'!I45</f>
        <v>0</v>
      </c>
      <c r="BC43" t="e">
        <f>Yields!G45</f>
        <v>#DIV/0!</v>
      </c>
      <c r="BD43">
        <f>'Plate Planning'!$K$21</f>
        <v>0</v>
      </c>
      <c r="BE43">
        <f>'Plate Planning'!$L$21</f>
        <v>0</v>
      </c>
      <c r="BF43">
        <f>'Uncorrected Area Counts'!J45</f>
        <v>0</v>
      </c>
      <c r="BG43" t="e">
        <f>Yields!H45</f>
        <v>#DIV/0!</v>
      </c>
      <c r="BH43">
        <f>'Plate Planning'!$K$22</f>
        <v>0</v>
      </c>
      <c r="BI43">
        <f>'Plate Planning'!$L$22</f>
        <v>0</v>
      </c>
      <c r="BJ43">
        <f>'Uncorrected Area Counts'!K45</f>
        <v>0</v>
      </c>
      <c r="BK43" t="e">
        <f>Yields!I45</f>
        <v>#DIV/0!</v>
      </c>
      <c r="BL43">
        <f>'Plate Planning'!$K$23</f>
        <v>0</v>
      </c>
      <c r="BM43">
        <f>'Plate Planning'!$L$23</f>
        <v>0</v>
      </c>
      <c r="BN43">
        <f>'Uncorrected Area Counts'!L45</f>
        <v>0</v>
      </c>
      <c r="BO43" t="e">
        <f>Yields!J45</f>
        <v>#DIV/0!</v>
      </c>
      <c r="BP43">
        <f>'Plate Planning'!$K$24</f>
        <v>0</v>
      </c>
      <c r="BQ43">
        <f>'Plate Planning'!$L$24</f>
        <v>0</v>
      </c>
      <c r="BR43">
        <f>'Uncorrected Area Counts'!M45</f>
        <v>0</v>
      </c>
      <c r="BS43" t="e">
        <f>Yields!K45</f>
        <v>#DIV/0!</v>
      </c>
      <c r="BT43">
        <f>'Plate Planning'!$L$17</f>
        <v>0</v>
      </c>
      <c r="BU43">
        <f>'Plate Planning'!$M$17</f>
        <v>0</v>
      </c>
      <c r="BV43">
        <f>'Uncorrected Area Counts'!F45</f>
        <v>0</v>
      </c>
    </row>
    <row r="44" spans="1:74">
      <c r="A44" s="1">
        <v>43</v>
      </c>
      <c r="B44" s="1">
        <v>7</v>
      </c>
      <c r="C44" s="1">
        <v>4</v>
      </c>
      <c r="D44" s="1">
        <f>'Plate Planning'!$H$16</f>
        <v>0</v>
      </c>
      <c r="E44" s="1" t="str">
        <f>'Plate Planning'!$H$17</f>
        <v>LC-MS</v>
      </c>
      <c r="F44" s="1">
        <f>'Plate Planning'!$H$18</f>
        <v>500</v>
      </c>
      <c r="G44" s="1">
        <f>'Plate Planning'!$H$20</f>
        <v>25</v>
      </c>
      <c r="H44" s="1">
        <f>'Plate Planning'!$H$19</f>
        <v>24</v>
      </c>
      <c r="I44" s="1" t="b">
        <f>'Plate Planning'!$H$21</f>
        <v>1</v>
      </c>
      <c r="J44" s="1" t="str">
        <f>IF('Plate Planning'!$H$22=0, "NA",'Plate Planning'!$H$22)</f>
        <v>NA</v>
      </c>
      <c r="K44" s="1">
        <f>Reagents!$D$2</f>
        <v>0</v>
      </c>
      <c r="L44" s="1">
        <f>Reagents!$D$2</f>
        <v>0</v>
      </c>
      <c r="M44" s="1">
        <f>Reagents!$J$2</f>
        <v>0</v>
      </c>
      <c r="N44" s="1">
        <f>Reagents!$D$3</f>
        <v>0</v>
      </c>
      <c r="O44" s="1">
        <f>Reagents!$J$3</f>
        <v>0</v>
      </c>
      <c r="P44" s="1">
        <f>Reagents!$D$4</f>
        <v>0</v>
      </c>
      <c r="Q44" s="1">
        <f>Reagents!$J$4</f>
        <v>0</v>
      </c>
      <c r="R44" s="1">
        <f>Reagents!$D$5</f>
        <v>0</v>
      </c>
      <c r="S44" s="1">
        <f>Reagents!$J$5</f>
        <v>0</v>
      </c>
      <c r="T44" s="1">
        <f>Reagents!$D$6</f>
        <v>0</v>
      </c>
      <c r="U44" s="1">
        <f>Reagents!$J$6</f>
        <v>0</v>
      </c>
      <c r="V44" s="1">
        <f>Reagents!$D$7</f>
        <v>0</v>
      </c>
      <c r="W44" s="1">
        <f>Reagents!$J$7</f>
        <v>0</v>
      </c>
      <c r="X44" s="1">
        <f>Reagents!$D$8</f>
        <v>0</v>
      </c>
      <c r="Y44" s="1">
        <f>Reagents!$J$8</f>
        <v>0</v>
      </c>
      <c r="Z44" s="1">
        <f>Reagents!$D$9</f>
        <v>0</v>
      </c>
      <c r="AA44" s="1">
        <f>Reagents!$J$9</f>
        <v>0</v>
      </c>
      <c r="AB44" s="1">
        <f>Reagents!$D$10</f>
        <v>0</v>
      </c>
      <c r="AC44" s="1">
        <f>Reagents!$J$10</f>
        <v>0</v>
      </c>
      <c r="AD44" s="1">
        <f>Reagents!$D$11</f>
        <v>0</v>
      </c>
      <c r="AE44" s="1">
        <f>Reagents!$J$11</f>
        <v>0</v>
      </c>
      <c r="AF44" t="str">
        <f>Reagents!$C$18</f>
        <v>-</v>
      </c>
      <c r="AG44">
        <f>Reagents!$D$18</f>
        <v>0</v>
      </c>
      <c r="AH44">
        <f>Reagents!$J$18</f>
        <v>0</v>
      </c>
      <c r="AI44" t="str">
        <f>Reagents!$C$30</f>
        <v>-</v>
      </c>
      <c r="AJ44">
        <f>Reagents!$D$30</f>
        <v>0</v>
      </c>
      <c r="AK44">
        <f>Reagents!$J$30</f>
        <v>0</v>
      </c>
      <c r="AL44" t="str">
        <f>Reagents!$C$39</f>
        <v>-</v>
      </c>
      <c r="AM44">
        <f>Reagents!$D$39</f>
        <v>0</v>
      </c>
      <c r="AN44">
        <f>Reagents!$J$39</f>
        <v>0</v>
      </c>
      <c r="AO44" t="str">
        <f>Reagents!$C$47</f>
        <v>-</v>
      </c>
      <c r="AP44">
        <f>Reagents!$D$47</f>
        <v>0</v>
      </c>
      <c r="AQ44">
        <f>Reagents!$J$47</f>
        <v>0</v>
      </c>
      <c r="AR44">
        <f>'Plate Planning'!$K$18</f>
        <v>0</v>
      </c>
      <c r="AS44">
        <f>'Plate Planning'!$L$18</f>
        <v>0</v>
      </c>
      <c r="AT44">
        <f>'Uncorrected Area Counts'!G46</f>
        <v>0</v>
      </c>
      <c r="AU44" t="e">
        <f>Yields!E46</f>
        <v>#DIV/0!</v>
      </c>
      <c r="AV44">
        <f>'Plate Planning'!$K$19</f>
        <v>0</v>
      </c>
      <c r="AW44">
        <f>'Plate Planning'!$L$19</f>
        <v>0</v>
      </c>
      <c r="AX44">
        <f>'Uncorrected Area Counts'!H46</f>
        <v>0</v>
      </c>
      <c r="AY44" t="e">
        <f>Yields!F46</f>
        <v>#DIV/0!</v>
      </c>
      <c r="AZ44">
        <f>'Plate Planning'!$K$20</f>
        <v>0</v>
      </c>
      <c r="BA44">
        <f>'Plate Planning'!$L$20</f>
        <v>0</v>
      </c>
      <c r="BB44">
        <f>'Uncorrected Area Counts'!I46</f>
        <v>0</v>
      </c>
      <c r="BC44" t="e">
        <f>Yields!G46</f>
        <v>#DIV/0!</v>
      </c>
      <c r="BD44">
        <f>'Plate Planning'!$K$21</f>
        <v>0</v>
      </c>
      <c r="BE44">
        <f>'Plate Planning'!$L$21</f>
        <v>0</v>
      </c>
      <c r="BF44">
        <f>'Uncorrected Area Counts'!J46</f>
        <v>0</v>
      </c>
      <c r="BG44" t="e">
        <f>Yields!H46</f>
        <v>#DIV/0!</v>
      </c>
      <c r="BH44">
        <f>'Plate Planning'!$K$22</f>
        <v>0</v>
      </c>
      <c r="BI44">
        <f>'Plate Planning'!$L$22</f>
        <v>0</v>
      </c>
      <c r="BJ44">
        <f>'Uncorrected Area Counts'!K46</f>
        <v>0</v>
      </c>
      <c r="BK44" t="e">
        <f>Yields!I46</f>
        <v>#DIV/0!</v>
      </c>
      <c r="BL44">
        <f>'Plate Planning'!$K$23</f>
        <v>0</v>
      </c>
      <c r="BM44">
        <f>'Plate Planning'!$L$23</f>
        <v>0</v>
      </c>
      <c r="BN44">
        <f>'Uncorrected Area Counts'!L46</f>
        <v>0</v>
      </c>
      <c r="BO44" t="e">
        <f>Yields!J46</f>
        <v>#DIV/0!</v>
      </c>
      <c r="BP44">
        <f>'Plate Planning'!$K$24</f>
        <v>0</v>
      </c>
      <c r="BQ44">
        <f>'Plate Planning'!$L$24</f>
        <v>0</v>
      </c>
      <c r="BR44">
        <f>'Uncorrected Area Counts'!M46</f>
        <v>0</v>
      </c>
      <c r="BS44" t="e">
        <f>Yields!K46</f>
        <v>#DIV/0!</v>
      </c>
      <c r="BT44">
        <f>'Plate Planning'!$L$17</f>
        <v>0</v>
      </c>
      <c r="BU44">
        <f>'Plate Planning'!$M$17</f>
        <v>0</v>
      </c>
      <c r="BV44">
        <f>'Uncorrected Area Counts'!F46</f>
        <v>0</v>
      </c>
    </row>
    <row r="45" spans="1:74">
      <c r="A45" s="1">
        <v>44</v>
      </c>
      <c r="B45" s="1">
        <v>8</v>
      </c>
      <c r="C45" s="1">
        <v>4</v>
      </c>
      <c r="D45" s="1">
        <f>'Plate Planning'!$H$16</f>
        <v>0</v>
      </c>
      <c r="E45" s="1" t="str">
        <f>'Plate Planning'!$H$17</f>
        <v>LC-MS</v>
      </c>
      <c r="F45" s="1">
        <f>'Plate Planning'!$H$18</f>
        <v>500</v>
      </c>
      <c r="G45" s="1">
        <f>'Plate Planning'!$H$20</f>
        <v>25</v>
      </c>
      <c r="H45" s="1">
        <f>'Plate Planning'!$H$19</f>
        <v>24</v>
      </c>
      <c r="I45" s="1" t="b">
        <f>'Plate Planning'!$H$21</f>
        <v>1</v>
      </c>
      <c r="J45" s="1" t="str">
        <f>IF('Plate Planning'!$H$22=0, "NA",'Plate Planning'!$H$22)</f>
        <v>NA</v>
      </c>
      <c r="K45" s="1">
        <f>Reagents!$D$2</f>
        <v>0</v>
      </c>
      <c r="L45" s="1">
        <f>Reagents!$D$2</f>
        <v>0</v>
      </c>
      <c r="M45" s="1">
        <f>Reagents!$J$2</f>
        <v>0</v>
      </c>
      <c r="N45" s="1">
        <f>Reagents!$D$3</f>
        <v>0</v>
      </c>
      <c r="O45" s="1">
        <f>Reagents!$J$3</f>
        <v>0</v>
      </c>
      <c r="P45" s="1">
        <f>Reagents!$D$4</f>
        <v>0</v>
      </c>
      <c r="Q45" s="1">
        <f>Reagents!$J$4</f>
        <v>0</v>
      </c>
      <c r="R45" s="1">
        <f>Reagents!$D$5</f>
        <v>0</v>
      </c>
      <c r="S45" s="1">
        <f>Reagents!$J$5</f>
        <v>0</v>
      </c>
      <c r="T45" s="1">
        <f>Reagents!$D$6</f>
        <v>0</v>
      </c>
      <c r="U45" s="1">
        <f>Reagents!$J$6</f>
        <v>0</v>
      </c>
      <c r="V45" s="1">
        <f>Reagents!$D$7</f>
        <v>0</v>
      </c>
      <c r="W45" s="1">
        <f>Reagents!$J$7</f>
        <v>0</v>
      </c>
      <c r="X45" s="1">
        <f>Reagents!$D$8</f>
        <v>0</v>
      </c>
      <c r="Y45" s="1">
        <f>Reagents!$J$8</f>
        <v>0</v>
      </c>
      <c r="Z45" s="1">
        <f>Reagents!$D$9</f>
        <v>0</v>
      </c>
      <c r="AA45" s="1">
        <f>Reagents!$J$9</f>
        <v>0</v>
      </c>
      <c r="AB45" s="1">
        <f>Reagents!$D$10</f>
        <v>0</v>
      </c>
      <c r="AC45" s="1">
        <f>Reagents!$J$10</f>
        <v>0</v>
      </c>
      <c r="AD45" s="1">
        <f>Reagents!$D$11</f>
        <v>0</v>
      </c>
      <c r="AE45" s="1">
        <f>Reagents!$J$11</f>
        <v>0</v>
      </c>
      <c r="AF45" t="str">
        <f>Reagents!$C$19</f>
        <v>-</v>
      </c>
      <c r="AG45">
        <f>Reagents!$D$19</f>
        <v>0</v>
      </c>
      <c r="AH45">
        <f>Reagents!$J$19</f>
        <v>0</v>
      </c>
      <c r="AI45" t="str">
        <f>Reagents!$C$31</f>
        <v>-</v>
      </c>
      <c r="AJ45">
        <f>Reagents!$D$31</f>
        <v>0</v>
      </c>
      <c r="AK45">
        <f>Reagents!$J$31</f>
        <v>0</v>
      </c>
      <c r="AL45" t="str">
        <f>Reagents!$C$39</f>
        <v>-</v>
      </c>
      <c r="AM45">
        <f>Reagents!$D$39</f>
        <v>0</v>
      </c>
      <c r="AN45">
        <f>Reagents!$J$39</f>
        <v>0</v>
      </c>
      <c r="AO45" t="str">
        <f>Reagents!$C$47</f>
        <v>-</v>
      </c>
      <c r="AP45">
        <f>Reagents!$D$47</f>
        <v>0</v>
      </c>
      <c r="AQ45">
        <f>Reagents!$J$47</f>
        <v>0</v>
      </c>
      <c r="AR45">
        <f>'Plate Planning'!$K$18</f>
        <v>0</v>
      </c>
      <c r="AS45">
        <f>'Plate Planning'!$L$18</f>
        <v>0</v>
      </c>
      <c r="AT45">
        <f>'Uncorrected Area Counts'!G47</f>
        <v>0</v>
      </c>
      <c r="AU45" t="e">
        <f>Yields!E47</f>
        <v>#DIV/0!</v>
      </c>
      <c r="AV45">
        <f>'Plate Planning'!$K$19</f>
        <v>0</v>
      </c>
      <c r="AW45">
        <f>'Plate Planning'!$L$19</f>
        <v>0</v>
      </c>
      <c r="AX45">
        <f>'Uncorrected Area Counts'!H47</f>
        <v>0</v>
      </c>
      <c r="AY45" t="e">
        <f>Yields!F47</f>
        <v>#DIV/0!</v>
      </c>
      <c r="AZ45">
        <f>'Plate Planning'!$K$20</f>
        <v>0</v>
      </c>
      <c r="BA45">
        <f>'Plate Planning'!$L$20</f>
        <v>0</v>
      </c>
      <c r="BB45">
        <f>'Uncorrected Area Counts'!I47</f>
        <v>0</v>
      </c>
      <c r="BC45" t="e">
        <f>Yields!G47</f>
        <v>#DIV/0!</v>
      </c>
      <c r="BD45">
        <f>'Plate Planning'!$K$21</f>
        <v>0</v>
      </c>
      <c r="BE45">
        <f>'Plate Planning'!$L$21</f>
        <v>0</v>
      </c>
      <c r="BF45">
        <f>'Uncorrected Area Counts'!J47</f>
        <v>0</v>
      </c>
      <c r="BG45" t="e">
        <f>Yields!H47</f>
        <v>#DIV/0!</v>
      </c>
      <c r="BH45">
        <f>'Plate Planning'!$K$22</f>
        <v>0</v>
      </c>
      <c r="BI45">
        <f>'Plate Planning'!$L$22</f>
        <v>0</v>
      </c>
      <c r="BJ45">
        <f>'Uncorrected Area Counts'!K47</f>
        <v>0</v>
      </c>
      <c r="BK45" t="e">
        <f>Yields!I47</f>
        <v>#DIV/0!</v>
      </c>
      <c r="BL45">
        <f>'Plate Planning'!$K$23</f>
        <v>0</v>
      </c>
      <c r="BM45">
        <f>'Plate Planning'!$L$23</f>
        <v>0</v>
      </c>
      <c r="BN45">
        <f>'Uncorrected Area Counts'!L47</f>
        <v>0</v>
      </c>
      <c r="BO45" t="e">
        <f>Yields!J47</f>
        <v>#DIV/0!</v>
      </c>
      <c r="BP45">
        <f>'Plate Planning'!$K$24</f>
        <v>0</v>
      </c>
      <c r="BQ45">
        <f>'Plate Planning'!$L$24</f>
        <v>0</v>
      </c>
      <c r="BR45">
        <f>'Uncorrected Area Counts'!M47</f>
        <v>0</v>
      </c>
      <c r="BS45" t="e">
        <f>Yields!K47</f>
        <v>#DIV/0!</v>
      </c>
      <c r="BT45">
        <f>'Plate Planning'!$L$17</f>
        <v>0</v>
      </c>
      <c r="BU45">
        <f>'Plate Planning'!$M$17</f>
        <v>0</v>
      </c>
      <c r="BV45">
        <f>'Uncorrected Area Counts'!F47</f>
        <v>0</v>
      </c>
    </row>
    <row r="46" spans="1:74">
      <c r="A46" s="1">
        <v>45</v>
      </c>
      <c r="B46" s="1">
        <v>9</v>
      </c>
      <c r="C46" s="1">
        <v>4</v>
      </c>
      <c r="D46" s="1">
        <f>'Plate Planning'!$H$16</f>
        <v>0</v>
      </c>
      <c r="E46" s="1" t="str">
        <f>'Plate Planning'!$H$17</f>
        <v>LC-MS</v>
      </c>
      <c r="F46" s="1">
        <f>'Plate Planning'!$H$18</f>
        <v>500</v>
      </c>
      <c r="G46" s="1">
        <f>'Plate Planning'!$H$20</f>
        <v>25</v>
      </c>
      <c r="H46" s="1">
        <f>'Plate Planning'!$H$19</f>
        <v>24</v>
      </c>
      <c r="I46" s="1" t="b">
        <f>'Plate Planning'!$H$21</f>
        <v>1</v>
      </c>
      <c r="J46" s="1" t="str">
        <f>IF('Plate Planning'!$H$22=0, "NA",'Plate Planning'!$H$22)</f>
        <v>NA</v>
      </c>
      <c r="K46" s="1">
        <f>Reagents!$D$2</f>
        <v>0</v>
      </c>
      <c r="L46" s="1">
        <f>Reagents!$D$2</f>
        <v>0</v>
      </c>
      <c r="M46" s="1">
        <f>Reagents!$J$2</f>
        <v>0</v>
      </c>
      <c r="N46" s="1">
        <f>Reagents!$D$3</f>
        <v>0</v>
      </c>
      <c r="O46" s="1">
        <f>Reagents!$J$3</f>
        <v>0</v>
      </c>
      <c r="P46" s="1">
        <f>Reagents!$D$4</f>
        <v>0</v>
      </c>
      <c r="Q46" s="1">
        <f>Reagents!$J$4</f>
        <v>0</v>
      </c>
      <c r="R46" s="1">
        <f>Reagents!$D$5</f>
        <v>0</v>
      </c>
      <c r="S46" s="1">
        <f>Reagents!$J$5</f>
        <v>0</v>
      </c>
      <c r="T46" s="1">
        <f>Reagents!$D$6</f>
        <v>0</v>
      </c>
      <c r="U46" s="1">
        <f>Reagents!$J$6</f>
        <v>0</v>
      </c>
      <c r="V46" s="1">
        <f>Reagents!$D$7</f>
        <v>0</v>
      </c>
      <c r="W46" s="1">
        <f>Reagents!$J$7</f>
        <v>0</v>
      </c>
      <c r="X46" s="1">
        <f>Reagents!$D$8</f>
        <v>0</v>
      </c>
      <c r="Y46" s="1">
        <f>Reagents!$J$8</f>
        <v>0</v>
      </c>
      <c r="Z46" s="1">
        <f>Reagents!$D$9</f>
        <v>0</v>
      </c>
      <c r="AA46" s="1">
        <f>Reagents!$J$9</f>
        <v>0</v>
      </c>
      <c r="AB46" s="1">
        <f>Reagents!$D$10</f>
        <v>0</v>
      </c>
      <c r="AC46" s="1">
        <f>Reagents!$J$10</f>
        <v>0</v>
      </c>
      <c r="AD46" s="1">
        <f>Reagents!$D$11</f>
        <v>0</v>
      </c>
      <c r="AE46" s="1">
        <f>Reagents!$J$11</f>
        <v>0</v>
      </c>
      <c r="AF46" t="str">
        <f>Reagents!$C$20</f>
        <v>-</v>
      </c>
      <c r="AG46">
        <f>Reagents!$D$20</f>
        <v>0</v>
      </c>
      <c r="AH46">
        <f>Reagents!$J$20</f>
        <v>0</v>
      </c>
      <c r="AI46" t="str">
        <f>Reagents!$C$32</f>
        <v>-</v>
      </c>
      <c r="AJ46">
        <f>Reagents!$D$32</f>
        <v>0</v>
      </c>
      <c r="AK46">
        <f>Reagents!$J$32</f>
        <v>0</v>
      </c>
      <c r="AL46" t="str">
        <f>Reagents!$C$39</f>
        <v>-</v>
      </c>
      <c r="AM46">
        <f>Reagents!$D$39</f>
        <v>0</v>
      </c>
      <c r="AN46">
        <f>Reagents!$J$39</f>
        <v>0</v>
      </c>
      <c r="AO46" t="str">
        <f>Reagents!$C$47</f>
        <v>-</v>
      </c>
      <c r="AP46">
        <f>Reagents!$D$47</f>
        <v>0</v>
      </c>
      <c r="AQ46">
        <f>Reagents!$J$47</f>
        <v>0</v>
      </c>
      <c r="AR46">
        <f>'Plate Planning'!$K$18</f>
        <v>0</v>
      </c>
      <c r="AS46">
        <f>'Plate Planning'!$L$18</f>
        <v>0</v>
      </c>
      <c r="AT46">
        <f>'Uncorrected Area Counts'!G48</f>
        <v>0</v>
      </c>
      <c r="AU46" t="e">
        <f>Yields!E48</f>
        <v>#DIV/0!</v>
      </c>
      <c r="AV46">
        <f>'Plate Planning'!$K$19</f>
        <v>0</v>
      </c>
      <c r="AW46">
        <f>'Plate Planning'!$L$19</f>
        <v>0</v>
      </c>
      <c r="AX46">
        <f>'Uncorrected Area Counts'!H48</f>
        <v>0</v>
      </c>
      <c r="AY46" t="e">
        <f>Yields!F48</f>
        <v>#DIV/0!</v>
      </c>
      <c r="AZ46">
        <f>'Plate Planning'!$K$20</f>
        <v>0</v>
      </c>
      <c r="BA46">
        <f>'Plate Planning'!$L$20</f>
        <v>0</v>
      </c>
      <c r="BB46">
        <f>'Uncorrected Area Counts'!I48</f>
        <v>0</v>
      </c>
      <c r="BC46" t="e">
        <f>Yields!G48</f>
        <v>#DIV/0!</v>
      </c>
      <c r="BD46">
        <f>'Plate Planning'!$K$21</f>
        <v>0</v>
      </c>
      <c r="BE46">
        <f>'Plate Planning'!$L$21</f>
        <v>0</v>
      </c>
      <c r="BF46">
        <f>'Uncorrected Area Counts'!J48</f>
        <v>0</v>
      </c>
      <c r="BG46" t="e">
        <f>Yields!H48</f>
        <v>#DIV/0!</v>
      </c>
      <c r="BH46">
        <f>'Plate Planning'!$K$22</f>
        <v>0</v>
      </c>
      <c r="BI46">
        <f>'Plate Planning'!$L$22</f>
        <v>0</v>
      </c>
      <c r="BJ46">
        <f>'Uncorrected Area Counts'!K48</f>
        <v>0</v>
      </c>
      <c r="BK46" t="e">
        <f>Yields!I48</f>
        <v>#DIV/0!</v>
      </c>
      <c r="BL46">
        <f>'Plate Planning'!$K$23</f>
        <v>0</v>
      </c>
      <c r="BM46">
        <f>'Plate Planning'!$L$23</f>
        <v>0</v>
      </c>
      <c r="BN46">
        <f>'Uncorrected Area Counts'!L48</f>
        <v>0</v>
      </c>
      <c r="BO46" t="e">
        <f>Yields!J48</f>
        <v>#DIV/0!</v>
      </c>
      <c r="BP46">
        <f>'Plate Planning'!$K$24</f>
        <v>0</v>
      </c>
      <c r="BQ46">
        <f>'Plate Planning'!$L$24</f>
        <v>0</v>
      </c>
      <c r="BR46">
        <f>'Uncorrected Area Counts'!M48</f>
        <v>0</v>
      </c>
      <c r="BS46" t="e">
        <f>Yields!K48</f>
        <v>#DIV/0!</v>
      </c>
      <c r="BT46">
        <f>'Plate Planning'!$L$17</f>
        <v>0</v>
      </c>
      <c r="BU46">
        <f>'Plate Planning'!$M$17</f>
        <v>0</v>
      </c>
      <c r="BV46">
        <f>'Uncorrected Area Counts'!F48</f>
        <v>0</v>
      </c>
    </row>
    <row r="47" spans="1:74">
      <c r="A47" s="1">
        <v>46</v>
      </c>
      <c r="B47" s="1">
        <v>10</v>
      </c>
      <c r="C47" s="1">
        <v>4</v>
      </c>
      <c r="D47" s="1">
        <f>'Plate Planning'!$H$16</f>
        <v>0</v>
      </c>
      <c r="E47" s="1" t="str">
        <f>'Plate Planning'!$H$17</f>
        <v>LC-MS</v>
      </c>
      <c r="F47" s="1">
        <f>'Plate Planning'!$H$18</f>
        <v>500</v>
      </c>
      <c r="G47" s="1">
        <f>'Plate Planning'!$H$20</f>
        <v>25</v>
      </c>
      <c r="H47" s="1">
        <f>'Plate Planning'!$H$19</f>
        <v>24</v>
      </c>
      <c r="I47" s="1" t="b">
        <f>'Plate Planning'!$H$21</f>
        <v>1</v>
      </c>
      <c r="J47" s="1" t="str">
        <f>IF('Plate Planning'!$H$22=0, "NA",'Plate Planning'!$H$22)</f>
        <v>NA</v>
      </c>
      <c r="K47" s="1">
        <f>Reagents!$D$2</f>
        <v>0</v>
      </c>
      <c r="L47" s="1">
        <f>Reagents!$D$2</f>
        <v>0</v>
      </c>
      <c r="M47" s="1">
        <f>Reagents!$J$2</f>
        <v>0</v>
      </c>
      <c r="N47" s="1">
        <f>Reagents!$D$3</f>
        <v>0</v>
      </c>
      <c r="O47" s="1">
        <f>Reagents!$J$3</f>
        <v>0</v>
      </c>
      <c r="P47" s="1">
        <f>Reagents!$D$4</f>
        <v>0</v>
      </c>
      <c r="Q47" s="1">
        <f>Reagents!$J$4</f>
        <v>0</v>
      </c>
      <c r="R47" s="1">
        <f>Reagents!$D$5</f>
        <v>0</v>
      </c>
      <c r="S47" s="1">
        <f>Reagents!$J$5</f>
        <v>0</v>
      </c>
      <c r="T47" s="1">
        <f>Reagents!$D$6</f>
        <v>0</v>
      </c>
      <c r="U47" s="1">
        <f>Reagents!$J$6</f>
        <v>0</v>
      </c>
      <c r="V47" s="1">
        <f>Reagents!$D$7</f>
        <v>0</v>
      </c>
      <c r="W47" s="1">
        <f>Reagents!$J$7</f>
        <v>0</v>
      </c>
      <c r="X47" s="1">
        <f>Reagents!$D$8</f>
        <v>0</v>
      </c>
      <c r="Y47" s="1">
        <f>Reagents!$J$8</f>
        <v>0</v>
      </c>
      <c r="Z47" s="1">
        <f>Reagents!$D$9</f>
        <v>0</v>
      </c>
      <c r="AA47" s="1">
        <f>Reagents!$J$9</f>
        <v>0</v>
      </c>
      <c r="AB47" s="1">
        <f>Reagents!$D$10</f>
        <v>0</v>
      </c>
      <c r="AC47" s="1">
        <f>Reagents!$J$10</f>
        <v>0</v>
      </c>
      <c r="AD47" s="1">
        <f>Reagents!$D$11</f>
        <v>0</v>
      </c>
      <c r="AE47" s="1">
        <f>Reagents!$J$11</f>
        <v>0</v>
      </c>
      <c r="AF47" t="str">
        <f>Reagents!$C$21</f>
        <v>-</v>
      </c>
      <c r="AG47">
        <f>Reagents!$D$21</f>
        <v>0</v>
      </c>
      <c r="AH47">
        <f>Reagents!$J$21</f>
        <v>0</v>
      </c>
      <c r="AI47" t="str">
        <f>Reagents!$C$33</f>
        <v>-</v>
      </c>
      <c r="AJ47">
        <f>Reagents!$D$33</f>
        <v>0</v>
      </c>
      <c r="AK47">
        <f>Reagents!$J$33</f>
        <v>0</v>
      </c>
      <c r="AL47" t="str">
        <f>Reagents!$C$39</f>
        <v>-</v>
      </c>
      <c r="AM47">
        <f>Reagents!$D$39</f>
        <v>0</v>
      </c>
      <c r="AN47">
        <f>Reagents!$J$39</f>
        <v>0</v>
      </c>
      <c r="AO47" t="str">
        <f>Reagents!$C$47</f>
        <v>-</v>
      </c>
      <c r="AP47">
        <f>Reagents!$D$47</f>
        <v>0</v>
      </c>
      <c r="AQ47">
        <f>Reagents!$J$47</f>
        <v>0</v>
      </c>
      <c r="AR47">
        <f>'Plate Planning'!$K$18</f>
        <v>0</v>
      </c>
      <c r="AS47">
        <f>'Plate Planning'!$L$18</f>
        <v>0</v>
      </c>
      <c r="AT47">
        <f>'Uncorrected Area Counts'!G49</f>
        <v>0</v>
      </c>
      <c r="AU47" t="e">
        <f>Yields!E49</f>
        <v>#DIV/0!</v>
      </c>
      <c r="AV47">
        <f>'Plate Planning'!$K$19</f>
        <v>0</v>
      </c>
      <c r="AW47">
        <f>'Plate Planning'!$L$19</f>
        <v>0</v>
      </c>
      <c r="AX47">
        <f>'Uncorrected Area Counts'!H49</f>
        <v>0</v>
      </c>
      <c r="AY47" t="e">
        <f>Yields!F49</f>
        <v>#DIV/0!</v>
      </c>
      <c r="AZ47">
        <f>'Plate Planning'!$K$20</f>
        <v>0</v>
      </c>
      <c r="BA47">
        <f>'Plate Planning'!$L$20</f>
        <v>0</v>
      </c>
      <c r="BB47">
        <f>'Uncorrected Area Counts'!I49</f>
        <v>0</v>
      </c>
      <c r="BC47" t="e">
        <f>Yields!G49</f>
        <v>#DIV/0!</v>
      </c>
      <c r="BD47">
        <f>'Plate Planning'!$K$21</f>
        <v>0</v>
      </c>
      <c r="BE47">
        <f>'Plate Planning'!$L$21</f>
        <v>0</v>
      </c>
      <c r="BF47">
        <f>'Uncorrected Area Counts'!J49</f>
        <v>0</v>
      </c>
      <c r="BG47" t="e">
        <f>Yields!H49</f>
        <v>#DIV/0!</v>
      </c>
      <c r="BH47">
        <f>'Plate Planning'!$K$22</f>
        <v>0</v>
      </c>
      <c r="BI47">
        <f>'Plate Planning'!$L$22</f>
        <v>0</v>
      </c>
      <c r="BJ47">
        <f>'Uncorrected Area Counts'!K49</f>
        <v>0</v>
      </c>
      <c r="BK47" t="e">
        <f>Yields!I49</f>
        <v>#DIV/0!</v>
      </c>
      <c r="BL47">
        <f>'Plate Planning'!$K$23</f>
        <v>0</v>
      </c>
      <c r="BM47">
        <f>'Plate Planning'!$L$23</f>
        <v>0</v>
      </c>
      <c r="BN47">
        <f>'Uncorrected Area Counts'!L49</f>
        <v>0</v>
      </c>
      <c r="BO47" t="e">
        <f>Yields!J49</f>
        <v>#DIV/0!</v>
      </c>
      <c r="BP47">
        <f>'Plate Planning'!$K$24</f>
        <v>0</v>
      </c>
      <c r="BQ47">
        <f>'Plate Planning'!$L$24</f>
        <v>0</v>
      </c>
      <c r="BR47">
        <f>'Uncorrected Area Counts'!M49</f>
        <v>0</v>
      </c>
      <c r="BS47" t="e">
        <f>Yields!K49</f>
        <v>#DIV/0!</v>
      </c>
      <c r="BT47">
        <f>'Plate Planning'!$L$17</f>
        <v>0</v>
      </c>
      <c r="BU47">
        <f>'Plate Planning'!$M$17</f>
        <v>0</v>
      </c>
      <c r="BV47">
        <f>'Uncorrected Area Counts'!F49</f>
        <v>0</v>
      </c>
    </row>
    <row r="48" spans="1:74">
      <c r="A48" s="1">
        <v>47</v>
      </c>
      <c r="B48" s="1">
        <v>11</v>
      </c>
      <c r="C48" s="1">
        <v>4</v>
      </c>
      <c r="D48" s="1">
        <f>'Plate Planning'!$H$16</f>
        <v>0</v>
      </c>
      <c r="E48" s="1" t="str">
        <f>'Plate Planning'!$H$17</f>
        <v>LC-MS</v>
      </c>
      <c r="F48" s="1">
        <f>'Plate Planning'!$H$18</f>
        <v>500</v>
      </c>
      <c r="G48" s="1">
        <f>'Plate Planning'!$H$20</f>
        <v>25</v>
      </c>
      <c r="H48" s="1">
        <f>'Plate Planning'!$H$19</f>
        <v>24</v>
      </c>
      <c r="I48" s="1" t="b">
        <f>'Plate Planning'!$H$21</f>
        <v>1</v>
      </c>
      <c r="J48" s="1" t="str">
        <f>IF('Plate Planning'!$H$22=0, "NA",'Plate Planning'!$H$22)</f>
        <v>NA</v>
      </c>
      <c r="K48" s="1">
        <f>Reagents!$D$2</f>
        <v>0</v>
      </c>
      <c r="L48" s="1">
        <f>Reagents!$D$2</f>
        <v>0</v>
      </c>
      <c r="M48" s="1">
        <f>Reagents!$J$2</f>
        <v>0</v>
      </c>
      <c r="N48" s="1">
        <f>Reagents!$D$3</f>
        <v>0</v>
      </c>
      <c r="O48" s="1">
        <f>Reagents!$J$3</f>
        <v>0</v>
      </c>
      <c r="P48" s="1">
        <f>Reagents!$D$4</f>
        <v>0</v>
      </c>
      <c r="Q48" s="1">
        <f>Reagents!$J$4</f>
        <v>0</v>
      </c>
      <c r="R48" s="1">
        <f>Reagents!$D$5</f>
        <v>0</v>
      </c>
      <c r="S48" s="1">
        <f>Reagents!$J$5</f>
        <v>0</v>
      </c>
      <c r="T48" s="1">
        <f>Reagents!$D$6</f>
        <v>0</v>
      </c>
      <c r="U48" s="1">
        <f>Reagents!$J$6</f>
        <v>0</v>
      </c>
      <c r="V48" s="1">
        <f>Reagents!$D$7</f>
        <v>0</v>
      </c>
      <c r="W48" s="1">
        <f>Reagents!$J$7</f>
        <v>0</v>
      </c>
      <c r="X48" s="1">
        <f>Reagents!$D$8</f>
        <v>0</v>
      </c>
      <c r="Y48" s="1">
        <f>Reagents!$J$8</f>
        <v>0</v>
      </c>
      <c r="Z48" s="1">
        <f>Reagents!$D$9</f>
        <v>0</v>
      </c>
      <c r="AA48" s="1">
        <f>Reagents!$J$9</f>
        <v>0</v>
      </c>
      <c r="AB48" s="1">
        <f>Reagents!$D$10</f>
        <v>0</v>
      </c>
      <c r="AC48" s="1">
        <f>Reagents!$J$10</f>
        <v>0</v>
      </c>
      <c r="AD48" s="1">
        <f>Reagents!$D$11</f>
        <v>0</v>
      </c>
      <c r="AE48" s="1">
        <f>Reagents!$J$11</f>
        <v>0</v>
      </c>
      <c r="AF48" t="str">
        <f>Reagents!$C$22</f>
        <v>-</v>
      </c>
      <c r="AG48">
        <f>Reagents!$D$22</f>
        <v>0</v>
      </c>
      <c r="AH48">
        <f>Reagents!$J$22</f>
        <v>0</v>
      </c>
      <c r="AI48" t="str">
        <f>Reagents!$C$34</f>
        <v>-</v>
      </c>
      <c r="AJ48">
        <f>Reagents!$D$34</f>
        <v>0</v>
      </c>
      <c r="AK48">
        <f>Reagents!$J$34</f>
        <v>0</v>
      </c>
      <c r="AL48" t="str">
        <f>Reagents!$C$39</f>
        <v>-</v>
      </c>
      <c r="AM48">
        <f>Reagents!$D$39</f>
        <v>0</v>
      </c>
      <c r="AN48">
        <f>Reagents!$J$39</f>
        <v>0</v>
      </c>
      <c r="AO48" t="str">
        <f>Reagents!$C$47</f>
        <v>-</v>
      </c>
      <c r="AP48">
        <f>Reagents!$D$47</f>
        <v>0</v>
      </c>
      <c r="AQ48">
        <f>Reagents!$J$47</f>
        <v>0</v>
      </c>
      <c r="AR48">
        <f>'Plate Planning'!$K$18</f>
        <v>0</v>
      </c>
      <c r="AS48">
        <f>'Plate Planning'!$L$18</f>
        <v>0</v>
      </c>
      <c r="AT48">
        <f>'Uncorrected Area Counts'!G50</f>
        <v>0</v>
      </c>
      <c r="AU48" t="e">
        <f>Yields!E50</f>
        <v>#DIV/0!</v>
      </c>
      <c r="AV48">
        <f>'Plate Planning'!$K$19</f>
        <v>0</v>
      </c>
      <c r="AW48">
        <f>'Plate Planning'!$L$19</f>
        <v>0</v>
      </c>
      <c r="AX48">
        <f>'Uncorrected Area Counts'!H50</f>
        <v>0</v>
      </c>
      <c r="AY48" t="e">
        <f>Yields!F50</f>
        <v>#DIV/0!</v>
      </c>
      <c r="AZ48">
        <f>'Plate Planning'!$K$20</f>
        <v>0</v>
      </c>
      <c r="BA48">
        <f>'Plate Planning'!$L$20</f>
        <v>0</v>
      </c>
      <c r="BB48">
        <f>'Uncorrected Area Counts'!I50</f>
        <v>0</v>
      </c>
      <c r="BC48" t="e">
        <f>Yields!G50</f>
        <v>#DIV/0!</v>
      </c>
      <c r="BD48">
        <f>'Plate Planning'!$K$21</f>
        <v>0</v>
      </c>
      <c r="BE48">
        <f>'Plate Planning'!$L$21</f>
        <v>0</v>
      </c>
      <c r="BF48">
        <f>'Uncorrected Area Counts'!J50</f>
        <v>0</v>
      </c>
      <c r="BG48" t="e">
        <f>Yields!H50</f>
        <v>#DIV/0!</v>
      </c>
      <c r="BH48">
        <f>'Plate Planning'!$K$22</f>
        <v>0</v>
      </c>
      <c r="BI48">
        <f>'Plate Planning'!$L$22</f>
        <v>0</v>
      </c>
      <c r="BJ48">
        <f>'Uncorrected Area Counts'!K50</f>
        <v>0</v>
      </c>
      <c r="BK48" t="e">
        <f>Yields!I50</f>
        <v>#DIV/0!</v>
      </c>
      <c r="BL48">
        <f>'Plate Planning'!$K$23</f>
        <v>0</v>
      </c>
      <c r="BM48">
        <f>'Plate Planning'!$L$23</f>
        <v>0</v>
      </c>
      <c r="BN48">
        <f>'Uncorrected Area Counts'!L50</f>
        <v>0</v>
      </c>
      <c r="BO48" t="e">
        <f>Yields!J50</f>
        <v>#DIV/0!</v>
      </c>
      <c r="BP48">
        <f>'Plate Planning'!$K$24</f>
        <v>0</v>
      </c>
      <c r="BQ48">
        <f>'Plate Planning'!$L$24</f>
        <v>0</v>
      </c>
      <c r="BR48">
        <f>'Uncorrected Area Counts'!M50</f>
        <v>0</v>
      </c>
      <c r="BS48" t="e">
        <f>Yields!K50</f>
        <v>#DIV/0!</v>
      </c>
      <c r="BT48">
        <f>'Plate Planning'!$L$17</f>
        <v>0</v>
      </c>
      <c r="BU48">
        <f>'Plate Planning'!$M$17</f>
        <v>0</v>
      </c>
      <c r="BV48">
        <f>'Uncorrected Area Counts'!F50</f>
        <v>0</v>
      </c>
    </row>
    <row r="49" spans="1:74">
      <c r="A49" s="1">
        <v>48</v>
      </c>
      <c r="B49" s="1">
        <v>12</v>
      </c>
      <c r="C49" s="1">
        <v>4</v>
      </c>
      <c r="D49" s="1">
        <f>'Plate Planning'!$H$16</f>
        <v>0</v>
      </c>
      <c r="E49" s="1" t="str">
        <f>'Plate Planning'!$H$17</f>
        <v>LC-MS</v>
      </c>
      <c r="F49" s="1">
        <f>'Plate Planning'!$H$18</f>
        <v>500</v>
      </c>
      <c r="G49" s="1">
        <f>'Plate Planning'!$H$20</f>
        <v>25</v>
      </c>
      <c r="H49" s="1">
        <f>'Plate Planning'!$H$19</f>
        <v>24</v>
      </c>
      <c r="I49" s="1" t="b">
        <f>'Plate Planning'!$H$21</f>
        <v>1</v>
      </c>
      <c r="J49" s="1" t="str">
        <f>IF('Plate Planning'!$H$22=0, "NA",'Plate Planning'!$H$22)</f>
        <v>NA</v>
      </c>
      <c r="K49" s="1">
        <f>Reagents!$D$2</f>
        <v>0</v>
      </c>
      <c r="L49" s="1">
        <f>Reagents!$D$2</f>
        <v>0</v>
      </c>
      <c r="M49" s="1">
        <f>Reagents!$J$2</f>
        <v>0</v>
      </c>
      <c r="N49" s="1">
        <f>Reagents!$D$3</f>
        <v>0</v>
      </c>
      <c r="O49" s="1">
        <f>Reagents!$J$3</f>
        <v>0</v>
      </c>
      <c r="P49" s="1">
        <f>Reagents!$D$4</f>
        <v>0</v>
      </c>
      <c r="Q49" s="1">
        <f>Reagents!$J$4</f>
        <v>0</v>
      </c>
      <c r="R49" s="1">
        <f>Reagents!$D$5</f>
        <v>0</v>
      </c>
      <c r="S49" s="1">
        <f>Reagents!$J$5</f>
        <v>0</v>
      </c>
      <c r="T49" s="1">
        <f>Reagents!$D$6</f>
        <v>0</v>
      </c>
      <c r="U49" s="1">
        <f>Reagents!$J$6</f>
        <v>0</v>
      </c>
      <c r="V49" s="1">
        <f>Reagents!$D$7</f>
        <v>0</v>
      </c>
      <c r="W49" s="1">
        <f>Reagents!$J$7</f>
        <v>0</v>
      </c>
      <c r="X49" s="1">
        <f>Reagents!$D$8</f>
        <v>0</v>
      </c>
      <c r="Y49" s="1">
        <f>Reagents!$J$8</f>
        <v>0</v>
      </c>
      <c r="Z49" s="1">
        <f>Reagents!$D$9</f>
        <v>0</v>
      </c>
      <c r="AA49" s="1">
        <f>Reagents!$J$9</f>
        <v>0</v>
      </c>
      <c r="AB49" s="1">
        <f>Reagents!$D$10</f>
        <v>0</v>
      </c>
      <c r="AC49" s="1">
        <f>Reagents!$J$10</f>
        <v>0</v>
      </c>
      <c r="AD49" s="1">
        <f>Reagents!$D$11</f>
        <v>0</v>
      </c>
      <c r="AE49" s="1">
        <f>Reagents!$J$11</f>
        <v>0</v>
      </c>
      <c r="AF49" t="str">
        <f>Reagents!$C$23</f>
        <v>-</v>
      </c>
      <c r="AG49">
        <f>Reagents!$D$23</f>
        <v>0</v>
      </c>
      <c r="AH49">
        <f>Reagents!$J$23</f>
        <v>0</v>
      </c>
      <c r="AI49" t="str">
        <f>Reagents!$C$35</f>
        <v>-</v>
      </c>
      <c r="AJ49">
        <f>Reagents!$D$35</f>
        <v>0</v>
      </c>
      <c r="AK49">
        <f>Reagents!$J$35</f>
        <v>0</v>
      </c>
      <c r="AL49" t="str">
        <f>Reagents!$C$39</f>
        <v>-</v>
      </c>
      <c r="AM49">
        <f>Reagents!$D$39</f>
        <v>0</v>
      </c>
      <c r="AN49">
        <f>Reagents!$J$39</f>
        <v>0</v>
      </c>
      <c r="AO49" t="str">
        <f>Reagents!$C$47</f>
        <v>-</v>
      </c>
      <c r="AP49">
        <f>Reagents!$D$47</f>
        <v>0</v>
      </c>
      <c r="AQ49">
        <f>Reagents!$J$47</f>
        <v>0</v>
      </c>
      <c r="AR49">
        <f>'Plate Planning'!$K$18</f>
        <v>0</v>
      </c>
      <c r="AS49">
        <f>'Plate Planning'!$L$18</f>
        <v>0</v>
      </c>
      <c r="AT49">
        <f>'Uncorrected Area Counts'!G51</f>
        <v>0</v>
      </c>
      <c r="AU49" t="e">
        <f>Yields!E51</f>
        <v>#DIV/0!</v>
      </c>
      <c r="AV49">
        <f>'Plate Planning'!$K$19</f>
        <v>0</v>
      </c>
      <c r="AW49">
        <f>'Plate Planning'!$L$19</f>
        <v>0</v>
      </c>
      <c r="AX49">
        <f>'Uncorrected Area Counts'!H51</f>
        <v>0</v>
      </c>
      <c r="AY49" t="e">
        <f>Yields!F51</f>
        <v>#DIV/0!</v>
      </c>
      <c r="AZ49">
        <f>'Plate Planning'!$K$20</f>
        <v>0</v>
      </c>
      <c r="BA49">
        <f>'Plate Planning'!$L$20</f>
        <v>0</v>
      </c>
      <c r="BB49">
        <f>'Uncorrected Area Counts'!I51</f>
        <v>0</v>
      </c>
      <c r="BC49" t="e">
        <f>Yields!G51</f>
        <v>#DIV/0!</v>
      </c>
      <c r="BD49">
        <f>'Plate Planning'!$K$21</f>
        <v>0</v>
      </c>
      <c r="BE49">
        <f>'Plate Planning'!$L$21</f>
        <v>0</v>
      </c>
      <c r="BF49">
        <f>'Uncorrected Area Counts'!J51</f>
        <v>0</v>
      </c>
      <c r="BG49" t="e">
        <f>Yields!H51</f>
        <v>#DIV/0!</v>
      </c>
      <c r="BH49">
        <f>'Plate Planning'!$K$22</f>
        <v>0</v>
      </c>
      <c r="BI49">
        <f>'Plate Planning'!$L$22</f>
        <v>0</v>
      </c>
      <c r="BJ49">
        <f>'Uncorrected Area Counts'!K51</f>
        <v>0</v>
      </c>
      <c r="BK49" t="e">
        <f>Yields!I51</f>
        <v>#DIV/0!</v>
      </c>
      <c r="BL49">
        <f>'Plate Planning'!$K$23</f>
        <v>0</v>
      </c>
      <c r="BM49">
        <f>'Plate Planning'!$L$23</f>
        <v>0</v>
      </c>
      <c r="BN49">
        <f>'Uncorrected Area Counts'!L51</f>
        <v>0</v>
      </c>
      <c r="BO49" t="e">
        <f>Yields!J51</f>
        <v>#DIV/0!</v>
      </c>
      <c r="BP49">
        <f>'Plate Planning'!$K$24</f>
        <v>0</v>
      </c>
      <c r="BQ49">
        <f>'Plate Planning'!$L$24</f>
        <v>0</v>
      </c>
      <c r="BR49">
        <f>'Uncorrected Area Counts'!M51</f>
        <v>0</v>
      </c>
      <c r="BS49" t="e">
        <f>Yields!K51</f>
        <v>#DIV/0!</v>
      </c>
      <c r="BT49">
        <f>'Plate Planning'!$L$17</f>
        <v>0</v>
      </c>
      <c r="BU49">
        <f>'Plate Planning'!$M$17</f>
        <v>0</v>
      </c>
      <c r="BV49">
        <f>'Uncorrected Area Counts'!F51</f>
        <v>0</v>
      </c>
    </row>
    <row r="50" spans="1:74">
      <c r="A50" s="1">
        <v>49</v>
      </c>
      <c r="B50" s="1">
        <v>1</v>
      </c>
      <c r="C50" s="1">
        <v>5</v>
      </c>
      <c r="D50" s="1">
        <f>'Plate Planning'!$H$16</f>
        <v>0</v>
      </c>
      <c r="E50" s="1" t="str">
        <f>'Plate Planning'!$H$17</f>
        <v>LC-MS</v>
      </c>
      <c r="F50" s="1">
        <f>'Plate Planning'!$H$18</f>
        <v>500</v>
      </c>
      <c r="G50" s="1">
        <f>'Plate Planning'!$H$20</f>
        <v>25</v>
      </c>
      <c r="H50" s="1">
        <f>'Plate Planning'!$H$19</f>
        <v>24</v>
      </c>
      <c r="I50" s="1" t="b">
        <f>'Plate Planning'!$H$21</f>
        <v>1</v>
      </c>
      <c r="J50" s="1" t="str">
        <f>IF('Plate Planning'!$H$22=0, "NA",'Plate Planning'!$H$22)</f>
        <v>NA</v>
      </c>
      <c r="K50" s="1">
        <f>Reagents!$D$2</f>
        <v>0</v>
      </c>
      <c r="L50" s="1">
        <f>Reagents!$D$2</f>
        <v>0</v>
      </c>
      <c r="M50" s="1">
        <f>Reagents!$J$2</f>
        <v>0</v>
      </c>
      <c r="N50" s="1">
        <f>Reagents!$D$3</f>
        <v>0</v>
      </c>
      <c r="O50" s="1">
        <f>Reagents!$J$3</f>
        <v>0</v>
      </c>
      <c r="P50" s="1">
        <f>Reagents!$D$4</f>
        <v>0</v>
      </c>
      <c r="Q50" s="1">
        <f>Reagents!$J$4</f>
        <v>0</v>
      </c>
      <c r="R50" s="1">
        <f>Reagents!$D$5</f>
        <v>0</v>
      </c>
      <c r="S50" s="1">
        <f>Reagents!$J$5</f>
        <v>0</v>
      </c>
      <c r="T50" s="1">
        <f>Reagents!$D$6</f>
        <v>0</v>
      </c>
      <c r="U50" s="1">
        <f>Reagents!$J$6</f>
        <v>0</v>
      </c>
      <c r="V50" s="1">
        <f>Reagents!$D$7</f>
        <v>0</v>
      </c>
      <c r="W50" s="1">
        <f>Reagents!$J$7</f>
        <v>0</v>
      </c>
      <c r="X50" s="1">
        <f>Reagents!$D$8</f>
        <v>0</v>
      </c>
      <c r="Y50" s="1">
        <f>Reagents!$J$8</f>
        <v>0</v>
      </c>
      <c r="Z50" s="1">
        <f>Reagents!$D$9</f>
        <v>0</v>
      </c>
      <c r="AA50" s="1">
        <f>Reagents!$J$9</f>
        <v>0</v>
      </c>
      <c r="AB50" s="1">
        <f>Reagents!$D$10</f>
        <v>0</v>
      </c>
      <c r="AC50" s="1">
        <f>Reagents!$J$10</f>
        <v>0</v>
      </c>
      <c r="AD50" s="1">
        <f>Reagents!$D$11</f>
        <v>0</v>
      </c>
      <c r="AE50" s="1">
        <f>Reagents!$J$11</f>
        <v>0</v>
      </c>
      <c r="AF50" t="str">
        <f>Reagents!$C$12</f>
        <v>-</v>
      </c>
      <c r="AG50">
        <f>Reagents!$D$12</f>
        <v>0</v>
      </c>
      <c r="AH50">
        <f>Reagents!$J$12</f>
        <v>0</v>
      </c>
      <c r="AI50" t="str">
        <f>Reagents!$C$24</f>
        <v>-</v>
      </c>
      <c r="AJ50">
        <f>Reagents!$D$24</f>
        <v>0</v>
      </c>
      <c r="AK50">
        <f>Reagents!$J$24</f>
        <v>0</v>
      </c>
      <c r="AL50" t="str">
        <f>Reagents!$C$40</f>
        <v>-</v>
      </c>
      <c r="AM50">
        <f>Reagents!$D$40</f>
        <v>0</v>
      </c>
      <c r="AN50">
        <f>Reagents!$J$40</f>
        <v>0</v>
      </c>
      <c r="AO50" t="str">
        <f>Reagents!$C$48</f>
        <v>-</v>
      </c>
      <c r="AP50">
        <f>Reagents!$D$48</f>
        <v>0</v>
      </c>
      <c r="AQ50">
        <f>Reagents!$J$48</f>
        <v>0</v>
      </c>
      <c r="AR50">
        <f>'Plate Planning'!$K$18</f>
        <v>0</v>
      </c>
      <c r="AS50">
        <f>'Plate Planning'!$L$18</f>
        <v>0</v>
      </c>
      <c r="AT50">
        <f>'Uncorrected Area Counts'!G52</f>
        <v>0</v>
      </c>
      <c r="AU50" t="e">
        <f>Yields!E52</f>
        <v>#DIV/0!</v>
      </c>
      <c r="AV50">
        <f>'Plate Planning'!$K$19</f>
        <v>0</v>
      </c>
      <c r="AW50">
        <f>'Plate Planning'!$L$19</f>
        <v>0</v>
      </c>
      <c r="AX50">
        <f>'Uncorrected Area Counts'!H52</f>
        <v>0</v>
      </c>
      <c r="AY50" t="e">
        <f>Yields!F52</f>
        <v>#DIV/0!</v>
      </c>
      <c r="AZ50">
        <f>'Plate Planning'!$K$20</f>
        <v>0</v>
      </c>
      <c r="BA50">
        <f>'Plate Planning'!$L$20</f>
        <v>0</v>
      </c>
      <c r="BB50">
        <f>'Uncorrected Area Counts'!I52</f>
        <v>0</v>
      </c>
      <c r="BC50" t="e">
        <f>Yields!G52</f>
        <v>#DIV/0!</v>
      </c>
      <c r="BD50">
        <f>'Plate Planning'!$K$21</f>
        <v>0</v>
      </c>
      <c r="BE50">
        <f>'Plate Planning'!$L$21</f>
        <v>0</v>
      </c>
      <c r="BF50">
        <f>'Uncorrected Area Counts'!J52</f>
        <v>0</v>
      </c>
      <c r="BG50" t="e">
        <f>Yields!H52</f>
        <v>#DIV/0!</v>
      </c>
      <c r="BH50">
        <f>'Plate Planning'!$K$22</f>
        <v>0</v>
      </c>
      <c r="BI50">
        <f>'Plate Planning'!$L$22</f>
        <v>0</v>
      </c>
      <c r="BJ50">
        <f>'Uncorrected Area Counts'!K52</f>
        <v>0</v>
      </c>
      <c r="BK50" t="e">
        <f>Yields!I52</f>
        <v>#DIV/0!</v>
      </c>
      <c r="BL50">
        <f>'Plate Planning'!$K$23</f>
        <v>0</v>
      </c>
      <c r="BM50">
        <f>'Plate Planning'!$L$23</f>
        <v>0</v>
      </c>
      <c r="BN50">
        <f>'Uncorrected Area Counts'!L52</f>
        <v>0</v>
      </c>
      <c r="BO50" t="e">
        <f>Yields!J52</f>
        <v>#DIV/0!</v>
      </c>
      <c r="BP50">
        <f>'Plate Planning'!$K$24</f>
        <v>0</v>
      </c>
      <c r="BQ50">
        <f>'Plate Planning'!$L$24</f>
        <v>0</v>
      </c>
      <c r="BR50">
        <f>'Uncorrected Area Counts'!M52</f>
        <v>0</v>
      </c>
      <c r="BS50" t="e">
        <f>Yields!K52</f>
        <v>#DIV/0!</v>
      </c>
      <c r="BT50">
        <f>'Plate Planning'!$L$17</f>
        <v>0</v>
      </c>
      <c r="BU50">
        <f>'Plate Planning'!$M$17</f>
        <v>0</v>
      </c>
      <c r="BV50">
        <f>'Uncorrected Area Counts'!F52</f>
        <v>0</v>
      </c>
    </row>
    <row r="51" spans="1:74">
      <c r="A51" s="1">
        <v>50</v>
      </c>
      <c r="B51" s="1">
        <v>2</v>
      </c>
      <c r="C51" s="1">
        <v>5</v>
      </c>
      <c r="D51" s="1">
        <f>'Plate Planning'!$H$16</f>
        <v>0</v>
      </c>
      <c r="E51" s="1" t="str">
        <f>'Plate Planning'!$H$17</f>
        <v>LC-MS</v>
      </c>
      <c r="F51" s="1">
        <f>'Plate Planning'!$H$18</f>
        <v>500</v>
      </c>
      <c r="G51" s="1">
        <f>'Plate Planning'!$H$20</f>
        <v>25</v>
      </c>
      <c r="H51" s="1">
        <f>'Plate Planning'!$H$19</f>
        <v>24</v>
      </c>
      <c r="I51" s="1" t="b">
        <f>'Plate Planning'!$H$21</f>
        <v>1</v>
      </c>
      <c r="J51" s="1" t="str">
        <f>IF('Plate Planning'!$H$22=0, "NA",'Plate Planning'!$H$22)</f>
        <v>NA</v>
      </c>
      <c r="K51" s="1">
        <f>Reagents!$D$2</f>
        <v>0</v>
      </c>
      <c r="L51" s="1">
        <f>Reagents!$D$2</f>
        <v>0</v>
      </c>
      <c r="M51" s="1">
        <f>Reagents!$J$2</f>
        <v>0</v>
      </c>
      <c r="N51" s="1">
        <f>Reagents!$D$3</f>
        <v>0</v>
      </c>
      <c r="O51" s="1">
        <f>Reagents!$J$3</f>
        <v>0</v>
      </c>
      <c r="P51" s="1">
        <f>Reagents!$D$4</f>
        <v>0</v>
      </c>
      <c r="Q51" s="1">
        <f>Reagents!$J$4</f>
        <v>0</v>
      </c>
      <c r="R51" s="1">
        <f>Reagents!$D$5</f>
        <v>0</v>
      </c>
      <c r="S51" s="1">
        <f>Reagents!$J$5</f>
        <v>0</v>
      </c>
      <c r="T51" s="1">
        <f>Reagents!$D$6</f>
        <v>0</v>
      </c>
      <c r="U51" s="1">
        <f>Reagents!$J$6</f>
        <v>0</v>
      </c>
      <c r="V51" s="1">
        <f>Reagents!$D$7</f>
        <v>0</v>
      </c>
      <c r="W51" s="1">
        <f>Reagents!$J$7</f>
        <v>0</v>
      </c>
      <c r="X51" s="1">
        <f>Reagents!$D$8</f>
        <v>0</v>
      </c>
      <c r="Y51" s="1">
        <f>Reagents!$J$8</f>
        <v>0</v>
      </c>
      <c r="Z51" s="1">
        <f>Reagents!$D$9</f>
        <v>0</v>
      </c>
      <c r="AA51" s="1">
        <f>Reagents!$J$9</f>
        <v>0</v>
      </c>
      <c r="AB51" s="1">
        <f>Reagents!$D$10</f>
        <v>0</v>
      </c>
      <c r="AC51" s="1">
        <f>Reagents!$J$10</f>
        <v>0</v>
      </c>
      <c r="AD51" s="1">
        <f>Reagents!$D$11</f>
        <v>0</v>
      </c>
      <c r="AE51" s="1">
        <f>Reagents!$J$11</f>
        <v>0</v>
      </c>
      <c r="AF51" t="str">
        <f>Reagents!$C$13</f>
        <v>-</v>
      </c>
      <c r="AG51">
        <f>Reagents!$D$13</f>
        <v>0</v>
      </c>
      <c r="AH51">
        <f>Reagents!$J$13</f>
        <v>0</v>
      </c>
      <c r="AI51" t="str">
        <f>Reagents!$C$25</f>
        <v>-</v>
      </c>
      <c r="AJ51">
        <f>Reagents!$D$25</f>
        <v>0</v>
      </c>
      <c r="AK51">
        <f>Reagents!$J$25</f>
        <v>0</v>
      </c>
      <c r="AL51" t="str">
        <f>Reagents!$C$40</f>
        <v>-</v>
      </c>
      <c r="AM51">
        <f>Reagents!$D$40</f>
        <v>0</v>
      </c>
      <c r="AN51">
        <f>Reagents!$J$40</f>
        <v>0</v>
      </c>
      <c r="AO51" t="str">
        <f>Reagents!$C$48</f>
        <v>-</v>
      </c>
      <c r="AP51">
        <f>Reagents!$D$48</f>
        <v>0</v>
      </c>
      <c r="AQ51">
        <f>Reagents!$J$48</f>
        <v>0</v>
      </c>
      <c r="AR51">
        <f>'Plate Planning'!$K$18</f>
        <v>0</v>
      </c>
      <c r="AS51">
        <f>'Plate Planning'!$L$18</f>
        <v>0</v>
      </c>
      <c r="AT51">
        <f>'Uncorrected Area Counts'!G53</f>
        <v>0</v>
      </c>
      <c r="AU51" t="e">
        <f>Yields!E53</f>
        <v>#DIV/0!</v>
      </c>
      <c r="AV51">
        <f>'Plate Planning'!$K$19</f>
        <v>0</v>
      </c>
      <c r="AW51">
        <f>'Plate Planning'!$L$19</f>
        <v>0</v>
      </c>
      <c r="AX51">
        <f>'Uncorrected Area Counts'!H53</f>
        <v>0</v>
      </c>
      <c r="AY51" t="e">
        <f>Yields!F53</f>
        <v>#DIV/0!</v>
      </c>
      <c r="AZ51">
        <f>'Plate Planning'!$K$20</f>
        <v>0</v>
      </c>
      <c r="BA51">
        <f>'Plate Planning'!$L$20</f>
        <v>0</v>
      </c>
      <c r="BB51">
        <f>'Uncorrected Area Counts'!I53</f>
        <v>0</v>
      </c>
      <c r="BC51" t="e">
        <f>Yields!G53</f>
        <v>#DIV/0!</v>
      </c>
      <c r="BD51">
        <f>'Plate Planning'!$K$21</f>
        <v>0</v>
      </c>
      <c r="BE51">
        <f>'Plate Planning'!$L$21</f>
        <v>0</v>
      </c>
      <c r="BF51">
        <f>'Uncorrected Area Counts'!J53</f>
        <v>0</v>
      </c>
      <c r="BG51" t="e">
        <f>Yields!H53</f>
        <v>#DIV/0!</v>
      </c>
      <c r="BH51">
        <f>'Plate Planning'!$K$22</f>
        <v>0</v>
      </c>
      <c r="BI51">
        <f>'Plate Planning'!$L$22</f>
        <v>0</v>
      </c>
      <c r="BJ51">
        <f>'Uncorrected Area Counts'!K53</f>
        <v>0</v>
      </c>
      <c r="BK51" t="e">
        <f>Yields!I53</f>
        <v>#DIV/0!</v>
      </c>
      <c r="BL51">
        <f>'Plate Planning'!$K$23</f>
        <v>0</v>
      </c>
      <c r="BM51">
        <f>'Plate Planning'!$L$23</f>
        <v>0</v>
      </c>
      <c r="BN51">
        <f>'Uncorrected Area Counts'!L53</f>
        <v>0</v>
      </c>
      <c r="BO51" t="e">
        <f>Yields!J53</f>
        <v>#DIV/0!</v>
      </c>
      <c r="BP51">
        <f>'Plate Planning'!$K$24</f>
        <v>0</v>
      </c>
      <c r="BQ51">
        <f>'Plate Planning'!$L$24</f>
        <v>0</v>
      </c>
      <c r="BR51">
        <f>'Uncorrected Area Counts'!M53</f>
        <v>0</v>
      </c>
      <c r="BS51" t="e">
        <f>Yields!K53</f>
        <v>#DIV/0!</v>
      </c>
      <c r="BT51">
        <f>'Plate Planning'!$L$17</f>
        <v>0</v>
      </c>
      <c r="BU51">
        <f>'Plate Planning'!$M$17</f>
        <v>0</v>
      </c>
      <c r="BV51">
        <f>'Uncorrected Area Counts'!F53</f>
        <v>0</v>
      </c>
    </row>
    <row r="52" spans="1:74">
      <c r="A52" s="1">
        <v>51</v>
      </c>
      <c r="B52" s="1">
        <v>3</v>
      </c>
      <c r="C52" s="1">
        <v>5</v>
      </c>
      <c r="D52" s="1">
        <f>'Plate Planning'!$H$16</f>
        <v>0</v>
      </c>
      <c r="E52" s="1" t="str">
        <f>'Plate Planning'!$H$17</f>
        <v>LC-MS</v>
      </c>
      <c r="F52" s="1">
        <f>'Plate Planning'!$H$18</f>
        <v>500</v>
      </c>
      <c r="G52" s="1">
        <f>'Plate Planning'!$H$20</f>
        <v>25</v>
      </c>
      <c r="H52" s="1">
        <f>'Plate Planning'!$H$19</f>
        <v>24</v>
      </c>
      <c r="I52" s="1" t="b">
        <f>'Plate Planning'!$H$21</f>
        <v>1</v>
      </c>
      <c r="J52" s="1" t="str">
        <f>IF('Plate Planning'!$H$22=0, "NA",'Plate Planning'!$H$22)</f>
        <v>NA</v>
      </c>
      <c r="K52" s="1">
        <f>Reagents!$D$2</f>
        <v>0</v>
      </c>
      <c r="L52" s="1">
        <f>Reagents!$D$2</f>
        <v>0</v>
      </c>
      <c r="M52" s="1">
        <f>Reagents!$J$2</f>
        <v>0</v>
      </c>
      <c r="N52" s="1">
        <f>Reagents!$D$3</f>
        <v>0</v>
      </c>
      <c r="O52" s="1">
        <f>Reagents!$J$3</f>
        <v>0</v>
      </c>
      <c r="P52" s="1">
        <f>Reagents!$D$4</f>
        <v>0</v>
      </c>
      <c r="Q52" s="1">
        <f>Reagents!$J$4</f>
        <v>0</v>
      </c>
      <c r="R52" s="1">
        <f>Reagents!$D$5</f>
        <v>0</v>
      </c>
      <c r="S52" s="1">
        <f>Reagents!$J$5</f>
        <v>0</v>
      </c>
      <c r="T52" s="1">
        <f>Reagents!$D$6</f>
        <v>0</v>
      </c>
      <c r="U52" s="1">
        <f>Reagents!$J$6</f>
        <v>0</v>
      </c>
      <c r="V52" s="1">
        <f>Reagents!$D$7</f>
        <v>0</v>
      </c>
      <c r="W52" s="1">
        <f>Reagents!$J$7</f>
        <v>0</v>
      </c>
      <c r="X52" s="1">
        <f>Reagents!$D$8</f>
        <v>0</v>
      </c>
      <c r="Y52" s="1">
        <f>Reagents!$J$8</f>
        <v>0</v>
      </c>
      <c r="Z52" s="1">
        <f>Reagents!$D$9</f>
        <v>0</v>
      </c>
      <c r="AA52" s="1">
        <f>Reagents!$J$9</f>
        <v>0</v>
      </c>
      <c r="AB52" s="1">
        <f>Reagents!$D$10</f>
        <v>0</v>
      </c>
      <c r="AC52" s="1">
        <f>Reagents!$J$10</f>
        <v>0</v>
      </c>
      <c r="AD52" s="1">
        <f>Reagents!$D$11</f>
        <v>0</v>
      </c>
      <c r="AE52" s="1">
        <f>Reagents!$J$11</f>
        <v>0</v>
      </c>
      <c r="AF52" t="str">
        <f>Reagents!$C$14</f>
        <v>-</v>
      </c>
      <c r="AG52">
        <f>Reagents!$D$14</f>
        <v>0</v>
      </c>
      <c r="AH52">
        <f>Reagents!$J$14</f>
        <v>0</v>
      </c>
      <c r="AI52" t="str">
        <f>Reagents!$C$26</f>
        <v>-</v>
      </c>
      <c r="AJ52">
        <f>Reagents!$D$26</f>
        <v>0</v>
      </c>
      <c r="AK52">
        <f>Reagents!$J$26</f>
        <v>0</v>
      </c>
      <c r="AL52" t="str">
        <f>Reagents!$C$40</f>
        <v>-</v>
      </c>
      <c r="AM52">
        <f>Reagents!$D$40</f>
        <v>0</v>
      </c>
      <c r="AN52">
        <f>Reagents!$J$40</f>
        <v>0</v>
      </c>
      <c r="AO52" t="str">
        <f>Reagents!$C$48</f>
        <v>-</v>
      </c>
      <c r="AP52">
        <f>Reagents!$D$48</f>
        <v>0</v>
      </c>
      <c r="AQ52">
        <f>Reagents!$J$48</f>
        <v>0</v>
      </c>
      <c r="AR52">
        <f>'Plate Planning'!$K$18</f>
        <v>0</v>
      </c>
      <c r="AS52">
        <f>'Plate Planning'!$L$18</f>
        <v>0</v>
      </c>
      <c r="AT52">
        <f>'Uncorrected Area Counts'!G54</f>
        <v>0</v>
      </c>
      <c r="AU52" t="e">
        <f>Yields!E54</f>
        <v>#DIV/0!</v>
      </c>
      <c r="AV52">
        <f>'Plate Planning'!$K$19</f>
        <v>0</v>
      </c>
      <c r="AW52">
        <f>'Plate Planning'!$L$19</f>
        <v>0</v>
      </c>
      <c r="AX52">
        <f>'Uncorrected Area Counts'!H54</f>
        <v>0</v>
      </c>
      <c r="AY52" t="e">
        <f>Yields!F54</f>
        <v>#DIV/0!</v>
      </c>
      <c r="AZ52">
        <f>'Plate Planning'!$K$20</f>
        <v>0</v>
      </c>
      <c r="BA52">
        <f>'Plate Planning'!$L$20</f>
        <v>0</v>
      </c>
      <c r="BB52">
        <f>'Uncorrected Area Counts'!I54</f>
        <v>0</v>
      </c>
      <c r="BC52" t="e">
        <f>Yields!G54</f>
        <v>#DIV/0!</v>
      </c>
      <c r="BD52">
        <f>'Plate Planning'!$K$21</f>
        <v>0</v>
      </c>
      <c r="BE52">
        <f>'Plate Planning'!$L$21</f>
        <v>0</v>
      </c>
      <c r="BF52">
        <f>'Uncorrected Area Counts'!J54</f>
        <v>0</v>
      </c>
      <c r="BG52" t="e">
        <f>Yields!H54</f>
        <v>#DIV/0!</v>
      </c>
      <c r="BH52">
        <f>'Plate Planning'!$K$22</f>
        <v>0</v>
      </c>
      <c r="BI52">
        <f>'Plate Planning'!$L$22</f>
        <v>0</v>
      </c>
      <c r="BJ52">
        <f>'Uncorrected Area Counts'!K54</f>
        <v>0</v>
      </c>
      <c r="BK52" t="e">
        <f>Yields!I54</f>
        <v>#DIV/0!</v>
      </c>
      <c r="BL52">
        <f>'Plate Planning'!$K$23</f>
        <v>0</v>
      </c>
      <c r="BM52">
        <f>'Plate Planning'!$L$23</f>
        <v>0</v>
      </c>
      <c r="BN52">
        <f>'Uncorrected Area Counts'!L54</f>
        <v>0</v>
      </c>
      <c r="BO52" t="e">
        <f>Yields!J54</f>
        <v>#DIV/0!</v>
      </c>
      <c r="BP52">
        <f>'Plate Planning'!$K$24</f>
        <v>0</v>
      </c>
      <c r="BQ52">
        <f>'Plate Planning'!$L$24</f>
        <v>0</v>
      </c>
      <c r="BR52">
        <f>'Uncorrected Area Counts'!M54</f>
        <v>0</v>
      </c>
      <c r="BS52" t="e">
        <f>Yields!K54</f>
        <v>#DIV/0!</v>
      </c>
      <c r="BT52">
        <f>'Plate Planning'!$L$17</f>
        <v>0</v>
      </c>
      <c r="BU52">
        <f>'Plate Planning'!$M$17</f>
        <v>0</v>
      </c>
      <c r="BV52">
        <f>'Uncorrected Area Counts'!F54</f>
        <v>0</v>
      </c>
    </row>
    <row r="53" spans="1:74">
      <c r="A53" s="1">
        <v>52</v>
      </c>
      <c r="B53" s="1">
        <v>4</v>
      </c>
      <c r="C53" s="1">
        <v>5</v>
      </c>
      <c r="D53" s="1">
        <f>'Plate Planning'!$H$16</f>
        <v>0</v>
      </c>
      <c r="E53" s="1" t="str">
        <f>'Plate Planning'!$H$17</f>
        <v>LC-MS</v>
      </c>
      <c r="F53" s="1">
        <f>'Plate Planning'!$H$18</f>
        <v>500</v>
      </c>
      <c r="G53" s="1">
        <f>'Plate Planning'!$H$20</f>
        <v>25</v>
      </c>
      <c r="H53" s="1">
        <f>'Plate Planning'!$H$19</f>
        <v>24</v>
      </c>
      <c r="I53" s="1" t="b">
        <f>'Plate Planning'!$H$21</f>
        <v>1</v>
      </c>
      <c r="J53" s="1" t="str">
        <f>IF('Plate Planning'!$H$22=0, "NA",'Plate Planning'!$H$22)</f>
        <v>NA</v>
      </c>
      <c r="K53" s="1">
        <f>Reagents!$D$2</f>
        <v>0</v>
      </c>
      <c r="L53" s="1">
        <f>Reagents!$D$2</f>
        <v>0</v>
      </c>
      <c r="M53" s="1">
        <f>Reagents!$J$2</f>
        <v>0</v>
      </c>
      <c r="N53" s="1">
        <f>Reagents!$D$3</f>
        <v>0</v>
      </c>
      <c r="O53" s="1">
        <f>Reagents!$J$3</f>
        <v>0</v>
      </c>
      <c r="P53" s="1">
        <f>Reagents!$D$4</f>
        <v>0</v>
      </c>
      <c r="Q53" s="1">
        <f>Reagents!$J$4</f>
        <v>0</v>
      </c>
      <c r="R53" s="1">
        <f>Reagents!$D$5</f>
        <v>0</v>
      </c>
      <c r="S53" s="1">
        <f>Reagents!$J$5</f>
        <v>0</v>
      </c>
      <c r="T53" s="1">
        <f>Reagents!$D$6</f>
        <v>0</v>
      </c>
      <c r="U53" s="1">
        <f>Reagents!$J$6</f>
        <v>0</v>
      </c>
      <c r="V53" s="1">
        <f>Reagents!$D$7</f>
        <v>0</v>
      </c>
      <c r="W53" s="1">
        <f>Reagents!$J$7</f>
        <v>0</v>
      </c>
      <c r="X53" s="1">
        <f>Reagents!$D$8</f>
        <v>0</v>
      </c>
      <c r="Y53" s="1">
        <f>Reagents!$J$8</f>
        <v>0</v>
      </c>
      <c r="Z53" s="1">
        <f>Reagents!$D$9</f>
        <v>0</v>
      </c>
      <c r="AA53" s="1">
        <f>Reagents!$J$9</f>
        <v>0</v>
      </c>
      <c r="AB53" s="1">
        <f>Reagents!$D$10</f>
        <v>0</v>
      </c>
      <c r="AC53" s="1">
        <f>Reagents!$J$10</f>
        <v>0</v>
      </c>
      <c r="AD53" s="1">
        <f>Reagents!$D$11</f>
        <v>0</v>
      </c>
      <c r="AE53" s="1">
        <f>Reagents!$J$11</f>
        <v>0</v>
      </c>
      <c r="AF53" t="str">
        <f>Reagents!$C$15</f>
        <v>-</v>
      </c>
      <c r="AG53">
        <f>Reagents!$D$15</f>
        <v>0</v>
      </c>
      <c r="AH53">
        <f>Reagents!$J$15</f>
        <v>0</v>
      </c>
      <c r="AI53" t="str">
        <f>Reagents!$C$27</f>
        <v>-</v>
      </c>
      <c r="AJ53">
        <f>Reagents!$D$27</f>
        <v>0</v>
      </c>
      <c r="AK53">
        <f>Reagents!$J$27</f>
        <v>0</v>
      </c>
      <c r="AL53" t="str">
        <f>Reagents!$C$40</f>
        <v>-</v>
      </c>
      <c r="AM53">
        <f>Reagents!$D$40</f>
        <v>0</v>
      </c>
      <c r="AN53">
        <f>Reagents!$J$40</f>
        <v>0</v>
      </c>
      <c r="AO53" t="str">
        <f>Reagents!$C$48</f>
        <v>-</v>
      </c>
      <c r="AP53">
        <f>Reagents!$D$48</f>
        <v>0</v>
      </c>
      <c r="AQ53">
        <f>Reagents!$J$48</f>
        <v>0</v>
      </c>
      <c r="AR53">
        <f>'Plate Planning'!$K$18</f>
        <v>0</v>
      </c>
      <c r="AS53">
        <f>'Plate Planning'!$L$18</f>
        <v>0</v>
      </c>
      <c r="AT53">
        <f>'Uncorrected Area Counts'!G55</f>
        <v>0</v>
      </c>
      <c r="AU53" t="e">
        <f>Yields!E55</f>
        <v>#DIV/0!</v>
      </c>
      <c r="AV53">
        <f>'Plate Planning'!$K$19</f>
        <v>0</v>
      </c>
      <c r="AW53">
        <f>'Plate Planning'!$L$19</f>
        <v>0</v>
      </c>
      <c r="AX53">
        <f>'Uncorrected Area Counts'!H55</f>
        <v>0</v>
      </c>
      <c r="AY53" t="e">
        <f>Yields!F55</f>
        <v>#DIV/0!</v>
      </c>
      <c r="AZ53">
        <f>'Plate Planning'!$K$20</f>
        <v>0</v>
      </c>
      <c r="BA53">
        <f>'Plate Planning'!$L$20</f>
        <v>0</v>
      </c>
      <c r="BB53">
        <f>'Uncorrected Area Counts'!I55</f>
        <v>0</v>
      </c>
      <c r="BC53" t="e">
        <f>Yields!G55</f>
        <v>#DIV/0!</v>
      </c>
      <c r="BD53">
        <f>'Plate Planning'!$K$21</f>
        <v>0</v>
      </c>
      <c r="BE53">
        <f>'Plate Planning'!$L$21</f>
        <v>0</v>
      </c>
      <c r="BF53">
        <f>'Uncorrected Area Counts'!J55</f>
        <v>0</v>
      </c>
      <c r="BG53" t="e">
        <f>Yields!H55</f>
        <v>#DIV/0!</v>
      </c>
      <c r="BH53">
        <f>'Plate Planning'!$K$22</f>
        <v>0</v>
      </c>
      <c r="BI53">
        <f>'Plate Planning'!$L$22</f>
        <v>0</v>
      </c>
      <c r="BJ53">
        <f>'Uncorrected Area Counts'!K55</f>
        <v>0</v>
      </c>
      <c r="BK53" t="e">
        <f>Yields!I55</f>
        <v>#DIV/0!</v>
      </c>
      <c r="BL53">
        <f>'Plate Planning'!$K$23</f>
        <v>0</v>
      </c>
      <c r="BM53">
        <f>'Plate Planning'!$L$23</f>
        <v>0</v>
      </c>
      <c r="BN53">
        <f>'Uncorrected Area Counts'!L55</f>
        <v>0</v>
      </c>
      <c r="BO53" t="e">
        <f>Yields!J55</f>
        <v>#DIV/0!</v>
      </c>
      <c r="BP53">
        <f>'Plate Planning'!$K$24</f>
        <v>0</v>
      </c>
      <c r="BQ53">
        <f>'Plate Planning'!$L$24</f>
        <v>0</v>
      </c>
      <c r="BR53">
        <f>'Uncorrected Area Counts'!M55</f>
        <v>0</v>
      </c>
      <c r="BS53" t="e">
        <f>Yields!K55</f>
        <v>#DIV/0!</v>
      </c>
      <c r="BT53">
        <f>'Plate Planning'!$L$17</f>
        <v>0</v>
      </c>
      <c r="BU53">
        <f>'Plate Planning'!$M$17</f>
        <v>0</v>
      </c>
      <c r="BV53">
        <f>'Uncorrected Area Counts'!F55</f>
        <v>0</v>
      </c>
    </row>
    <row r="54" spans="1:74">
      <c r="A54" s="1">
        <v>53</v>
      </c>
      <c r="B54" s="1">
        <v>5</v>
      </c>
      <c r="C54" s="1">
        <v>5</v>
      </c>
      <c r="D54" s="1">
        <f>'Plate Planning'!$H$16</f>
        <v>0</v>
      </c>
      <c r="E54" s="1" t="str">
        <f>'Plate Planning'!$H$17</f>
        <v>LC-MS</v>
      </c>
      <c r="F54" s="1">
        <f>'Plate Planning'!$H$18</f>
        <v>500</v>
      </c>
      <c r="G54" s="1">
        <f>'Plate Planning'!$H$20</f>
        <v>25</v>
      </c>
      <c r="H54" s="1">
        <f>'Plate Planning'!$H$19</f>
        <v>24</v>
      </c>
      <c r="I54" s="1" t="b">
        <f>'Plate Planning'!$H$21</f>
        <v>1</v>
      </c>
      <c r="J54" s="1" t="str">
        <f>IF('Plate Planning'!$H$22=0, "NA",'Plate Planning'!$H$22)</f>
        <v>NA</v>
      </c>
      <c r="K54" s="1">
        <f>Reagents!$D$2</f>
        <v>0</v>
      </c>
      <c r="L54" s="1">
        <f>Reagents!$D$2</f>
        <v>0</v>
      </c>
      <c r="M54" s="1">
        <f>Reagents!$J$2</f>
        <v>0</v>
      </c>
      <c r="N54" s="1">
        <f>Reagents!$D$3</f>
        <v>0</v>
      </c>
      <c r="O54" s="1">
        <f>Reagents!$J$3</f>
        <v>0</v>
      </c>
      <c r="P54" s="1">
        <f>Reagents!$D$4</f>
        <v>0</v>
      </c>
      <c r="Q54" s="1">
        <f>Reagents!$J$4</f>
        <v>0</v>
      </c>
      <c r="R54" s="1">
        <f>Reagents!$D$5</f>
        <v>0</v>
      </c>
      <c r="S54" s="1">
        <f>Reagents!$J$5</f>
        <v>0</v>
      </c>
      <c r="T54" s="1">
        <f>Reagents!$D$6</f>
        <v>0</v>
      </c>
      <c r="U54" s="1">
        <f>Reagents!$J$6</f>
        <v>0</v>
      </c>
      <c r="V54" s="1">
        <f>Reagents!$D$7</f>
        <v>0</v>
      </c>
      <c r="W54" s="1">
        <f>Reagents!$J$7</f>
        <v>0</v>
      </c>
      <c r="X54" s="1">
        <f>Reagents!$D$8</f>
        <v>0</v>
      </c>
      <c r="Y54" s="1">
        <f>Reagents!$J$8</f>
        <v>0</v>
      </c>
      <c r="Z54" s="1">
        <f>Reagents!$D$9</f>
        <v>0</v>
      </c>
      <c r="AA54" s="1">
        <f>Reagents!$J$9</f>
        <v>0</v>
      </c>
      <c r="AB54" s="1">
        <f>Reagents!$D$10</f>
        <v>0</v>
      </c>
      <c r="AC54" s="1">
        <f>Reagents!$J$10</f>
        <v>0</v>
      </c>
      <c r="AD54" s="1">
        <f>Reagents!$D$11</f>
        <v>0</v>
      </c>
      <c r="AE54" s="1">
        <f>Reagents!$J$11</f>
        <v>0</v>
      </c>
      <c r="AF54" t="str">
        <f>Reagents!$C$16</f>
        <v>-</v>
      </c>
      <c r="AG54">
        <f>Reagents!$D$16</f>
        <v>0</v>
      </c>
      <c r="AH54">
        <f>Reagents!$J$16</f>
        <v>0</v>
      </c>
      <c r="AI54" t="str">
        <f>Reagents!$C$28</f>
        <v>-</v>
      </c>
      <c r="AJ54">
        <f>Reagents!$D$28</f>
        <v>0</v>
      </c>
      <c r="AK54">
        <f>Reagents!$J$28</f>
        <v>0</v>
      </c>
      <c r="AL54" t="str">
        <f>Reagents!$C$40</f>
        <v>-</v>
      </c>
      <c r="AM54">
        <f>Reagents!$D$40</f>
        <v>0</v>
      </c>
      <c r="AN54">
        <f>Reagents!$J$40</f>
        <v>0</v>
      </c>
      <c r="AO54" t="str">
        <f>Reagents!$C$48</f>
        <v>-</v>
      </c>
      <c r="AP54">
        <f>Reagents!$D$48</f>
        <v>0</v>
      </c>
      <c r="AQ54">
        <f>Reagents!$J$48</f>
        <v>0</v>
      </c>
      <c r="AR54">
        <f>'Plate Planning'!$K$18</f>
        <v>0</v>
      </c>
      <c r="AS54">
        <f>'Plate Planning'!$L$18</f>
        <v>0</v>
      </c>
      <c r="AT54">
        <f>'Uncorrected Area Counts'!G56</f>
        <v>0</v>
      </c>
      <c r="AU54" t="e">
        <f>Yields!E56</f>
        <v>#DIV/0!</v>
      </c>
      <c r="AV54">
        <f>'Plate Planning'!$K$19</f>
        <v>0</v>
      </c>
      <c r="AW54">
        <f>'Plate Planning'!$L$19</f>
        <v>0</v>
      </c>
      <c r="AX54">
        <f>'Uncorrected Area Counts'!H56</f>
        <v>0</v>
      </c>
      <c r="AY54" t="e">
        <f>Yields!F56</f>
        <v>#DIV/0!</v>
      </c>
      <c r="AZ54">
        <f>'Plate Planning'!$K$20</f>
        <v>0</v>
      </c>
      <c r="BA54">
        <f>'Plate Planning'!$L$20</f>
        <v>0</v>
      </c>
      <c r="BB54">
        <f>'Uncorrected Area Counts'!I56</f>
        <v>0</v>
      </c>
      <c r="BC54" t="e">
        <f>Yields!G56</f>
        <v>#DIV/0!</v>
      </c>
      <c r="BD54">
        <f>'Plate Planning'!$K$21</f>
        <v>0</v>
      </c>
      <c r="BE54">
        <f>'Plate Planning'!$L$21</f>
        <v>0</v>
      </c>
      <c r="BF54">
        <f>'Uncorrected Area Counts'!J56</f>
        <v>0</v>
      </c>
      <c r="BG54" t="e">
        <f>Yields!H56</f>
        <v>#DIV/0!</v>
      </c>
      <c r="BH54">
        <f>'Plate Planning'!$K$22</f>
        <v>0</v>
      </c>
      <c r="BI54">
        <f>'Plate Planning'!$L$22</f>
        <v>0</v>
      </c>
      <c r="BJ54">
        <f>'Uncorrected Area Counts'!K56</f>
        <v>0</v>
      </c>
      <c r="BK54" t="e">
        <f>Yields!I56</f>
        <v>#DIV/0!</v>
      </c>
      <c r="BL54">
        <f>'Plate Planning'!$K$23</f>
        <v>0</v>
      </c>
      <c r="BM54">
        <f>'Plate Planning'!$L$23</f>
        <v>0</v>
      </c>
      <c r="BN54">
        <f>'Uncorrected Area Counts'!L56</f>
        <v>0</v>
      </c>
      <c r="BO54" t="e">
        <f>Yields!J56</f>
        <v>#DIV/0!</v>
      </c>
      <c r="BP54">
        <f>'Plate Planning'!$K$24</f>
        <v>0</v>
      </c>
      <c r="BQ54">
        <f>'Plate Planning'!$L$24</f>
        <v>0</v>
      </c>
      <c r="BR54">
        <f>'Uncorrected Area Counts'!M56</f>
        <v>0</v>
      </c>
      <c r="BS54" t="e">
        <f>Yields!K56</f>
        <v>#DIV/0!</v>
      </c>
      <c r="BT54">
        <f>'Plate Planning'!$L$17</f>
        <v>0</v>
      </c>
      <c r="BU54">
        <f>'Plate Planning'!$M$17</f>
        <v>0</v>
      </c>
      <c r="BV54">
        <f>'Uncorrected Area Counts'!F56</f>
        <v>0</v>
      </c>
    </row>
    <row r="55" spans="1:74">
      <c r="A55" s="1">
        <v>54</v>
      </c>
      <c r="B55" s="1">
        <v>6</v>
      </c>
      <c r="C55" s="1">
        <v>5</v>
      </c>
      <c r="D55" s="1">
        <f>'Plate Planning'!$H$16</f>
        <v>0</v>
      </c>
      <c r="E55" s="1" t="str">
        <f>'Plate Planning'!$H$17</f>
        <v>LC-MS</v>
      </c>
      <c r="F55" s="1">
        <f>'Plate Planning'!$H$18</f>
        <v>500</v>
      </c>
      <c r="G55" s="1">
        <f>'Plate Planning'!$H$20</f>
        <v>25</v>
      </c>
      <c r="H55" s="1">
        <f>'Plate Planning'!$H$19</f>
        <v>24</v>
      </c>
      <c r="I55" s="1" t="b">
        <f>'Plate Planning'!$H$21</f>
        <v>1</v>
      </c>
      <c r="J55" s="1" t="str">
        <f>IF('Plate Planning'!$H$22=0, "NA",'Plate Planning'!$H$22)</f>
        <v>NA</v>
      </c>
      <c r="K55" s="1">
        <f>Reagents!$D$2</f>
        <v>0</v>
      </c>
      <c r="L55" s="1">
        <f>Reagents!$D$2</f>
        <v>0</v>
      </c>
      <c r="M55" s="1">
        <f>Reagents!$J$2</f>
        <v>0</v>
      </c>
      <c r="N55" s="1">
        <f>Reagents!$D$3</f>
        <v>0</v>
      </c>
      <c r="O55" s="1">
        <f>Reagents!$J$3</f>
        <v>0</v>
      </c>
      <c r="P55" s="1">
        <f>Reagents!$D$4</f>
        <v>0</v>
      </c>
      <c r="Q55" s="1">
        <f>Reagents!$J$4</f>
        <v>0</v>
      </c>
      <c r="R55" s="1">
        <f>Reagents!$D$5</f>
        <v>0</v>
      </c>
      <c r="S55" s="1">
        <f>Reagents!$J$5</f>
        <v>0</v>
      </c>
      <c r="T55" s="1">
        <f>Reagents!$D$6</f>
        <v>0</v>
      </c>
      <c r="U55" s="1">
        <f>Reagents!$J$6</f>
        <v>0</v>
      </c>
      <c r="V55" s="1">
        <f>Reagents!$D$7</f>
        <v>0</v>
      </c>
      <c r="W55" s="1">
        <f>Reagents!$J$7</f>
        <v>0</v>
      </c>
      <c r="X55" s="1">
        <f>Reagents!$D$8</f>
        <v>0</v>
      </c>
      <c r="Y55" s="1">
        <f>Reagents!$J$8</f>
        <v>0</v>
      </c>
      <c r="Z55" s="1">
        <f>Reagents!$D$9</f>
        <v>0</v>
      </c>
      <c r="AA55" s="1">
        <f>Reagents!$J$9</f>
        <v>0</v>
      </c>
      <c r="AB55" s="1">
        <f>Reagents!$D$10</f>
        <v>0</v>
      </c>
      <c r="AC55" s="1">
        <f>Reagents!$J$10</f>
        <v>0</v>
      </c>
      <c r="AD55" s="1">
        <f>Reagents!$D$11</f>
        <v>0</v>
      </c>
      <c r="AE55" s="1">
        <f>Reagents!$J$11</f>
        <v>0</v>
      </c>
      <c r="AF55" t="str">
        <f>Reagents!$C$17</f>
        <v>-</v>
      </c>
      <c r="AG55">
        <f>Reagents!$D$17</f>
        <v>0</v>
      </c>
      <c r="AH55">
        <f>Reagents!$J$17</f>
        <v>0</v>
      </c>
      <c r="AI55" t="str">
        <f>Reagents!$C$29</f>
        <v>-</v>
      </c>
      <c r="AJ55">
        <f>Reagents!$D$29</f>
        <v>0</v>
      </c>
      <c r="AK55">
        <f>Reagents!$J$29</f>
        <v>0</v>
      </c>
      <c r="AL55" t="str">
        <f>Reagents!$C$40</f>
        <v>-</v>
      </c>
      <c r="AM55">
        <f>Reagents!$D$40</f>
        <v>0</v>
      </c>
      <c r="AN55">
        <f>Reagents!$J$40</f>
        <v>0</v>
      </c>
      <c r="AO55" t="str">
        <f>Reagents!$C$48</f>
        <v>-</v>
      </c>
      <c r="AP55">
        <f>Reagents!$D$48</f>
        <v>0</v>
      </c>
      <c r="AQ55">
        <f>Reagents!$J$48</f>
        <v>0</v>
      </c>
      <c r="AR55">
        <f>'Plate Planning'!$K$18</f>
        <v>0</v>
      </c>
      <c r="AS55">
        <f>'Plate Planning'!$L$18</f>
        <v>0</v>
      </c>
      <c r="AT55">
        <f>'Uncorrected Area Counts'!G57</f>
        <v>0</v>
      </c>
      <c r="AU55" t="e">
        <f>Yields!E57</f>
        <v>#DIV/0!</v>
      </c>
      <c r="AV55">
        <f>'Plate Planning'!$K$19</f>
        <v>0</v>
      </c>
      <c r="AW55">
        <f>'Plate Planning'!$L$19</f>
        <v>0</v>
      </c>
      <c r="AX55">
        <f>'Uncorrected Area Counts'!H57</f>
        <v>0</v>
      </c>
      <c r="AY55" t="e">
        <f>Yields!F57</f>
        <v>#DIV/0!</v>
      </c>
      <c r="AZ55">
        <f>'Plate Planning'!$K$20</f>
        <v>0</v>
      </c>
      <c r="BA55">
        <f>'Plate Planning'!$L$20</f>
        <v>0</v>
      </c>
      <c r="BB55">
        <f>'Uncorrected Area Counts'!I57</f>
        <v>0</v>
      </c>
      <c r="BC55" t="e">
        <f>Yields!G57</f>
        <v>#DIV/0!</v>
      </c>
      <c r="BD55">
        <f>'Plate Planning'!$K$21</f>
        <v>0</v>
      </c>
      <c r="BE55">
        <f>'Plate Planning'!$L$21</f>
        <v>0</v>
      </c>
      <c r="BF55">
        <f>'Uncorrected Area Counts'!J57</f>
        <v>0</v>
      </c>
      <c r="BG55" t="e">
        <f>Yields!H57</f>
        <v>#DIV/0!</v>
      </c>
      <c r="BH55">
        <f>'Plate Planning'!$K$22</f>
        <v>0</v>
      </c>
      <c r="BI55">
        <f>'Plate Planning'!$L$22</f>
        <v>0</v>
      </c>
      <c r="BJ55">
        <f>'Uncorrected Area Counts'!K57</f>
        <v>0</v>
      </c>
      <c r="BK55" t="e">
        <f>Yields!I57</f>
        <v>#DIV/0!</v>
      </c>
      <c r="BL55">
        <f>'Plate Planning'!$K$23</f>
        <v>0</v>
      </c>
      <c r="BM55">
        <f>'Plate Planning'!$L$23</f>
        <v>0</v>
      </c>
      <c r="BN55">
        <f>'Uncorrected Area Counts'!L57</f>
        <v>0</v>
      </c>
      <c r="BO55" t="e">
        <f>Yields!J57</f>
        <v>#DIV/0!</v>
      </c>
      <c r="BP55">
        <f>'Plate Planning'!$K$24</f>
        <v>0</v>
      </c>
      <c r="BQ55">
        <f>'Plate Planning'!$L$24</f>
        <v>0</v>
      </c>
      <c r="BR55">
        <f>'Uncorrected Area Counts'!M57</f>
        <v>0</v>
      </c>
      <c r="BS55" t="e">
        <f>Yields!K57</f>
        <v>#DIV/0!</v>
      </c>
      <c r="BT55">
        <f>'Plate Planning'!$L$17</f>
        <v>0</v>
      </c>
      <c r="BU55">
        <f>'Plate Planning'!$M$17</f>
        <v>0</v>
      </c>
      <c r="BV55">
        <f>'Uncorrected Area Counts'!F57</f>
        <v>0</v>
      </c>
    </row>
    <row r="56" spans="1:74">
      <c r="A56" s="1">
        <v>55</v>
      </c>
      <c r="B56" s="1">
        <v>7</v>
      </c>
      <c r="C56" s="1">
        <v>5</v>
      </c>
      <c r="D56" s="1">
        <f>'Plate Planning'!$H$16</f>
        <v>0</v>
      </c>
      <c r="E56" s="1" t="str">
        <f>'Plate Planning'!$H$17</f>
        <v>LC-MS</v>
      </c>
      <c r="F56" s="1">
        <f>'Plate Planning'!$H$18</f>
        <v>500</v>
      </c>
      <c r="G56" s="1">
        <f>'Plate Planning'!$H$20</f>
        <v>25</v>
      </c>
      <c r="H56" s="1">
        <f>'Plate Planning'!$H$19</f>
        <v>24</v>
      </c>
      <c r="I56" s="1" t="b">
        <f>'Plate Planning'!$H$21</f>
        <v>1</v>
      </c>
      <c r="J56" s="1" t="str">
        <f>IF('Plate Planning'!$H$22=0, "NA",'Plate Planning'!$H$22)</f>
        <v>NA</v>
      </c>
      <c r="K56" s="1">
        <f>Reagents!$D$2</f>
        <v>0</v>
      </c>
      <c r="L56" s="1">
        <f>Reagents!$D$2</f>
        <v>0</v>
      </c>
      <c r="M56" s="1">
        <f>Reagents!$J$2</f>
        <v>0</v>
      </c>
      <c r="N56" s="1">
        <f>Reagents!$D$3</f>
        <v>0</v>
      </c>
      <c r="O56" s="1">
        <f>Reagents!$J$3</f>
        <v>0</v>
      </c>
      <c r="P56" s="1">
        <f>Reagents!$D$4</f>
        <v>0</v>
      </c>
      <c r="Q56" s="1">
        <f>Reagents!$J$4</f>
        <v>0</v>
      </c>
      <c r="R56" s="1">
        <f>Reagents!$D$5</f>
        <v>0</v>
      </c>
      <c r="S56" s="1">
        <f>Reagents!$J$5</f>
        <v>0</v>
      </c>
      <c r="T56" s="1">
        <f>Reagents!$D$6</f>
        <v>0</v>
      </c>
      <c r="U56" s="1">
        <f>Reagents!$J$6</f>
        <v>0</v>
      </c>
      <c r="V56" s="1">
        <f>Reagents!$D$7</f>
        <v>0</v>
      </c>
      <c r="W56" s="1">
        <f>Reagents!$J$7</f>
        <v>0</v>
      </c>
      <c r="X56" s="1">
        <f>Reagents!$D$8</f>
        <v>0</v>
      </c>
      <c r="Y56" s="1">
        <f>Reagents!$J$8</f>
        <v>0</v>
      </c>
      <c r="Z56" s="1">
        <f>Reagents!$D$9</f>
        <v>0</v>
      </c>
      <c r="AA56" s="1">
        <f>Reagents!$J$9</f>
        <v>0</v>
      </c>
      <c r="AB56" s="1">
        <f>Reagents!$D$10</f>
        <v>0</v>
      </c>
      <c r="AC56" s="1">
        <f>Reagents!$J$10</f>
        <v>0</v>
      </c>
      <c r="AD56" s="1">
        <f>Reagents!$D$11</f>
        <v>0</v>
      </c>
      <c r="AE56" s="1">
        <f>Reagents!$J$11</f>
        <v>0</v>
      </c>
      <c r="AF56" t="str">
        <f>Reagents!$C$18</f>
        <v>-</v>
      </c>
      <c r="AG56">
        <f>Reagents!$D$18</f>
        <v>0</v>
      </c>
      <c r="AH56">
        <f>Reagents!$J$18</f>
        <v>0</v>
      </c>
      <c r="AI56" t="str">
        <f>Reagents!$C$30</f>
        <v>-</v>
      </c>
      <c r="AJ56">
        <f>Reagents!$D$30</f>
        <v>0</v>
      </c>
      <c r="AK56">
        <f>Reagents!$J$30</f>
        <v>0</v>
      </c>
      <c r="AL56" t="str">
        <f>Reagents!$C$40</f>
        <v>-</v>
      </c>
      <c r="AM56">
        <f>Reagents!$D$40</f>
        <v>0</v>
      </c>
      <c r="AN56">
        <f>Reagents!$J$40</f>
        <v>0</v>
      </c>
      <c r="AO56" t="str">
        <f>Reagents!$C$48</f>
        <v>-</v>
      </c>
      <c r="AP56">
        <f>Reagents!$D$48</f>
        <v>0</v>
      </c>
      <c r="AQ56">
        <f>Reagents!$J$48</f>
        <v>0</v>
      </c>
      <c r="AR56">
        <f>'Plate Planning'!$K$18</f>
        <v>0</v>
      </c>
      <c r="AS56">
        <f>'Plate Planning'!$L$18</f>
        <v>0</v>
      </c>
      <c r="AT56">
        <f>'Uncorrected Area Counts'!G58</f>
        <v>0</v>
      </c>
      <c r="AU56" t="e">
        <f>Yields!E58</f>
        <v>#DIV/0!</v>
      </c>
      <c r="AV56">
        <f>'Plate Planning'!$K$19</f>
        <v>0</v>
      </c>
      <c r="AW56">
        <f>'Plate Planning'!$L$19</f>
        <v>0</v>
      </c>
      <c r="AX56">
        <f>'Uncorrected Area Counts'!H58</f>
        <v>0</v>
      </c>
      <c r="AY56" t="e">
        <f>Yields!F58</f>
        <v>#DIV/0!</v>
      </c>
      <c r="AZ56">
        <f>'Plate Planning'!$K$20</f>
        <v>0</v>
      </c>
      <c r="BA56">
        <f>'Plate Planning'!$L$20</f>
        <v>0</v>
      </c>
      <c r="BB56">
        <f>'Uncorrected Area Counts'!I58</f>
        <v>0</v>
      </c>
      <c r="BC56" t="e">
        <f>Yields!G58</f>
        <v>#DIV/0!</v>
      </c>
      <c r="BD56">
        <f>'Plate Planning'!$K$21</f>
        <v>0</v>
      </c>
      <c r="BE56">
        <f>'Plate Planning'!$L$21</f>
        <v>0</v>
      </c>
      <c r="BF56">
        <f>'Uncorrected Area Counts'!J58</f>
        <v>0</v>
      </c>
      <c r="BG56" t="e">
        <f>Yields!H58</f>
        <v>#DIV/0!</v>
      </c>
      <c r="BH56">
        <f>'Plate Planning'!$K$22</f>
        <v>0</v>
      </c>
      <c r="BI56">
        <f>'Plate Planning'!$L$22</f>
        <v>0</v>
      </c>
      <c r="BJ56">
        <f>'Uncorrected Area Counts'!K58</f>
        <v>0</v>
      </c>
      <c r="BK56" t="e">
        <f>Yields!I58</f>
        <v>#DIV/0!</v>
      </c>
      <c r="BL56">
        <f>'Plate Planning'!$K$23</f>
        <v>0</v>
      </c>
      <c r="BM56">
        <f>'Plate Planning'!$L$23</f>
        <v>0</v>
      </c>
      <c r="BN56">
        <f>'Uncorrected Area Counts'!L58</f>
        <v>0</v>
      </c>
      <c r="BO56" t="e">
        <f>Yields!J58</f>
        <v>#DIV/0!</v>
      </c>
      <c r="BP56">
        <f>'Plate Planning'!$K$24</f>
        <v>0</v>
      </c>
      <c r="BQ56">
        <f>'Plate Planning'!$L$24</f>
        <v>0</v>
      </c>
      <c r="BR56">
        <f>'Uncorrected Area Counts'!M58</f>
        <v>0</v>
      </c>
      <c r="BS56" t="e">
        <f>Yields!K58</f>
        <v>#DIV/0!</v>
      </c>
      <c r="BT56">
        <f>'Plate Planning'!$L$17</f>
        <v>0</v>
      </c>
      <c r="BU56">
        <f>'Plate Planning'!$M$17</f>
        <v>0</v>
      </c>
      <c r="BV56">
        <f>'Uncorrected Area Counts'!F58</f>
        <v>0</v>
      </c>
    </row>
    <row r="57" spans="1:74">
      <c r="A57" s="1">
        <v>56</v>
      </c>
      <c r="B57" s="1">
        <v>8</v>
      </c>
      <c r="C57" s="1">
        <v>5</v>
      </c>
      <c r="D57" s="1">
        <f>'Plate Planning'!$H$16</f>
        <v>0</v>
      </c>
      <c r="E57" s="1" t="str">
        <f>'Plate Planning'!$H$17</f>
        <v>LC-MS</v>
      </c>
      <c r="F57" s="1">
        <f>'Plate Planning'!$H$18</f>
        <v>500</v>
      </c>
      <c r="G57" s="1">
        <f>'Plate Planning'!$H$20</f>
        <v>25</v>
      </c>
      <c r="H57" s="1">
        <f>'Plate Planning'!$H$19</f>
        <v>24</v>
      </c>
      <c r="I57" s="1" t="b">
        <f>'Plate Planning'!$H$21</f>
        <v>1</v>
      </c>
      <c r="J57" s="1" t="str">
        <f>IF('Plate Planning'!$H$22=0, "NA",'Plate Planning'!$H$22)</f>
        <v>NA</v>
      </c>
      <c r="K57" s="1">
        <f>Reagents!$D$2</f>
        <v>0</v>
      </c>
      <c r="L57" s="1">
        <f>Reagents!$D$2</f>
        <v>0</v>
      </c>
      <c r="M57" s="1">
        <f>Reagents!$J$2</f>
        <v>0</v>
      </c>
      <c r="N57" s="1">
        <f>Reagents!$D$3</f>
        <v>0</v>
      </c>
      <c r="O57" s="1">
        <f>Reagents!$J$3</f>
        <v>0</v>
      </c>
      <c r="P57" s="1">
        <f>Reagents!$D$4</f>
        <v>0</v>
      </c>
      <c r="Q57" s="1">
        <f>Reagents!$J$4</f>
        <v>0</v>
      </c>
      <c r="R57" s="1">
        <f>Reagents!$D$5</f>
        <v>0</v>
      </c>
      <c r="S57" s="1">
        <f>Reagents!$J$5</f>
        <v>0</v>
      </c>
      <c r="T57" s="1">
        <f>Reagents!$D$6</f>
        <v>0</v>
      </c>
      <c r="U57" s="1">
        <f>Reagents!$J$6</f>
        <v>0</v>
      </c>
      <c r="V57" s="1">
        <f>Reagents!$D$7</f>
        <v>0</v>
      </c>
      <c r="W57" s="1">
        <f>Reagents!$J$7</f>
        <v>0</v>
      </c>
      <c r="X57" s="1">
        <f>Reagents!$D$8</f>
        <v>0</v>
      </c>
      <c r="Y57" s="1">
        <f>Reagents!$J$8</f>
        <v>0</v>
      </c>
      <c r="Z57" s="1">
        <f>Reagents!$D$9</f>
        <v>0</v>
      </c>
      <c r="AA57" s="1">
        <f>Reagents!$J$9</f>
        <v>0</v>
      </c>
      <c r="AB57" s="1">
        <f>Reagents!$D$10</f>
        <v>0</v>
      </c>
      <c r="AC57" s="1">
        <f>Reagents!$J$10</f>
        <v>0</v>
      </c>
      <c r="AD57" s="1">
        <f>Reagents!$D$11</f>
        <v>0</v>
      </c>
      <c r="AE57" s="1">
        <f>Reagents!$J$11</f>
        <v>0</v>
      </c>
      <c r="AF57" t="str">
        <f>Reagents!$C$19</f>
        <v>-</v>
      </c>
      <c r="AG57">
        <f>Reagents!$D$19</f>
        <v>0</v>
      </c>
      <c r="AH57">
        <f>Reagents!$J$19</f>
        <v>0</v>
      </c>
      <c r="AI57" t="str">
        <f>Reagents!$C$31</f>
        <v>-</v>
      </c>
      <c r="AJ57">
        <f>Reagents!$D$31</f>
        <v>0</v>
      </c>
      <c r="AK57">
        <f>Reagents!$J$31</f>
        <v>0</v>
      </c>
      <c r="AL57" t="str">
        <f>Reagents!$C$40</f>
        <v>-</v>
      </c>
      <c r="AM57">
        <f>Reagents!$D$40</f>
        <v>0</v>
      </c>
      <c r="AN57">
        <f>Reagents!$J$40</f>
        <v>0</v>
      </c>
      <c r="AO57" t="str">
        <f>Reagents!$C$48</f>
        <v>-</v>
      </c>
      <c r="AP57">
        <f>Reagents!$D$48</f>
        <v>0</v>
      </c>
      <c r="AQ57">
        <f>Reagents!$J$48</f>
        <v>0</v>
      </c>
      <c r="AR57">
        <f>'Plate Planning'!$K$18</f>
        <v>0</v>
      </c>
      <c r="AS57">
        <f>'Plate Planning'!$L$18</f>
        <v>0</v>
      </c>
      <c r="AT57">
        <f>'Uncorrected Area Counts'!G59</f>
        <v>0</v>
      </c>
      <c r="AU57" t="e">
        <f>Yields!E59</f>
        <v>#DIV/0!</v>
      </c>
      <c r="AV57">
        <f>'Plate Planning'!$K$19</f>
        <v>0</v>
      </c>
      <c r="AW57">
        <f>'Plate Planning'!$L$19</f>
        <v>0</v>
      </c>
      <c r="AX57">
        <f>'Uncorrected Area Counts'!H59</f>
        <v>0</v>
      </c>
      <c r="AY57" t="e">
        <f>Yields!F59</f>
        <v>#DIV/0!</v>
      </c>
      <c r="AZ57">
        <f>'Plate Planning'!$K$20</f>
        <v>0</v>
      </c>
      <c r="BA57">
        <f>'Plate Planning'!$L$20</f>
        <v>0</v>
      </c>
      <c r="BB57">
        <f>'Uncorrected Area Counts'!I59</f>
        <v>0</v>
      </c>
      <c r="BC57" t="e">
        <f>Yields!G59</f>
        <v>#DIV/0!</v>
      </c>
      <c r="BD57">
        <f>'Plate Planning'!$K$21</f>
        <v>0</v>
      </c>
      <c r="BE57">
        <f>'Plate Planning'!$L$21</f>
        <v>0</v>
      </c>
      <c r="BF57">
        <f>'Uncorrected Area Counts'!J59</f>
        <v>0</v>
      </c>
      <c r="BG57" t="e">
        <f>Yields!H59</f>
        <v>#DIV/0!</v>
      </c>
      <c r="BH57">
        <f>'Plate Planning'!$K$22</f>
        <v>0</v>
      </c>
      <c r="BI57">
        <f>'Plate Planning'!$L$22</f>
        <v>0</v>
      </c>
      <c r="BJ57">
        <f>'Uncorrected Area Counts'!K59</f>
        <v>0</v>
      </c>
      <c r="BK57" t="e">
        <f>Yields!I59</f>
        <v>#DIV/0!</v>
      </c>
      <c r="BL57">
        <f>'Plate Planning'!$K$23</f>
        <v>0</v>
      </c>
      <c r="BM57">
        <f>'Plate Planning'!$L$23</f>
        <v>0</v>
      </c>
      <c r="BN57">
        <f>'Uncorrected Area Counts'!L59</f>
        <v>0</v>
      </c>
      <c r="BO57" t="e">
        <f>Yields!J59</f>
        <v>#DIV/0!</v>
      </c>
      <c r="BP57">
        <f>'Plate Planning'!$K$24</f>
        <v>0</v>
      </c>
      <c r="BQ57">
        <f>'Plate Planning'!$L$24</f>
        <v>0</v>
      </c>
      <c r="BR57">
        <f>'Uncorrected Area Counts'!M59</f>
        <v>0</v>
      </c>
      <c r="BS57" t="e">
        <f>Yields!K59</f>
        <v>#DIV/0!</v>
      </c>
      <c r="BT57">
        <f>'Plate Planning'!$L$17</f>
        <v>0</v>
      </c>
      <c r="BU57">
        <f>'Plate Planning'!$M$17</f>
        <v>0</v>
      </c>
      <c r="BV57">
        <f>'Uncorrected Area Counts'!F59</f>
        <v>0</v>
      </c>
    </row>
    <row r="58" spans="1:74">
      <c r="A58" s="1">
        <v>57</v>
      </c>
      <c r="B58" s="1">
        <v>9</v>
      </c>
      <c r="C58" s="1">
        <v>5</v>
      </c>
      <c r="D58" s="1">
        <f>'Plate Planning'!$H$16</f>
        <v>0</v>
      </c>
      <c r="E58" s="1" t="str">
        <f>'Plate Planning'!$H$17</f>
        <v>LC-MS</v>
      </c>
      <c r="F58" s="1">
        <f>'Plate Planning'!$H$18</f>
        <v>500</v>
      </c>
      <c r="G58" s="1">
        <f>'Plate Planning'!$H$20</f>
        <v>25</v>
      </c>
      <c r="H58" s="1">
        <f>'Plate Planning'!$H$19</f>
        <v>24</v>
      </c>
      <c r="I58" s="1" t="b">
        <f>'Plate Planning'!$H$21</f>
        <v>1</v>
      </c>
      <c r="J58" s="1" t="str">
        <f>IF('Plate Planning'!$H$22=0, "NA",'Plate Planning'!$H$22)</f>
        <v>NA</v>
      </c>
      <c r="K58" s="1">
        <f>Reagents!$D$2</f>
        <v>0</v>
      </c>
      <c r="L58" s="1">
        <f>Reagents!$D$2</f>
        <v>0</v>
      </c>
      <c r="M58" s="1">
        <f>Reagents!$J$2</f>
        <v>0</v>
      </c>
      <c r="N58" s="1">
        <f>Reagents!$D$3</f>
        <v>0</v>
      </c>
      <c r="O58" s="1">
        <f>Reagents!$J$3</f>
        <v>0</v>
      </c>
      <c r="P58" s="1">
        <f>Reagents!$D$4</f>
        <v>0</v>
      </c>
      <c r="Q58" s="1">
        <f>Reagents!$J$4</f>
        <v>0</v>
      </c>
      <c r="R58" s="1">
        <f>Reagents!$D$5</f>
        <v>0</v>
      </c>
      <c r="S58" s="1">
        <f>Reagents!$J$5</f>
        <v>0</v>
      </c>
      <c r="T58" s="1">
        <f>Reagents!$D$6</f>
        <v>0</v>
      </c>
      <c r="U58" s="1">
        <f>Reagents!$J$6</f>
        <v>0</v>
      </c>
      <c r="V58" s="1">
        <f>Reagents!$D$7</f>
        <v>0</v>
      </c>
      <c r="W58" s="1">
        <f>Reagents!$J$7</f>
        <v>0</v>
      </c>
      <c r="X58" s="1">
        <f>Reagents!$D$8</f>
        <v>0</v>
      </c>
      <c r="Y58" s="1">
        <f>Reagents!$J$8</f>
        <v>0</v>
      </c>
      <c r="Z58" s="1">
        <f>Reagents!$D$9</f>
        <v>0</v>
      </c>
      <c r="AA58" s="1">
        <f>Reagents!$J$9</f>
        <v>0</v>
      </c>
      <c r="AB58" s="1">
        <f>Reagents!$D$10</f>
        <v>0</v>
      </c>
      <c r="AC58" s="1">
        <f>Reagents!$J$10</f>
        <v>0</v>
      </c>
      <c r="AD58" s="1">
        <f>Reagents!$D$11</f>
        <v>0</v>
      </c>
      <c r="AE58" s="1">
        <f>Reagents!$J$11</f>
        <v>0</v>
      </c>
      <c r="AF58" t="str">
        <f>Reagents!$C$20</f>
        <v>-</v>
      </c>
      <c r="AG58">
        <f>Reagents!$D$20</f>
        <v>0</v>
      </c>
      <c r="AH58">
        <f>Reagents!$J$20</f>
        <v>0</v>
      </c>
      <c r="AI58" t="str">
        <f>Reagents!$C$32</f>
        <v>-</v>
      </c>
      <c r="AJ58">
        <f>Reagents!$D$32</f>
        <v>0</v>
      </c>
      <c r="AK58">
        <f>Reagents!$J$32</f>
        <v>0</v>
      </c>
      <c r="AL58" t="str">
        <f>Reagents!$C$40</f>
        <v>-</v>
      </c>
      <c r="AM58">
        <f>Reagents!$D$40</f>
        <v>0</v>
      </c>
      <c r="AN58">
        <f>Reagents!$J$40</f>
        <v>0</v>
      </c>
      <c r="AO58" t="str">
        <f>Reagents!$C$48</f>
        <v>-</v>
      </c>
      <c r="AP58">
        <f>Reagents!$D$48</f>
        <v>0</v>
      </c>
      <c r="AQ58">
        <f>Reagents!$J$48</f>
        <v>0</v>
      </c>
      <c r="AR58">
        <f>'Plate Planning'!$K$18</f>
        <v>0</v>
      </c>
      <c r="AS58">
        <f>'Plate Planning'!$L$18</f>
        <v>0</v>
      </c>
      <c r="AT58">
        <f>'Uncorrected Area Counts'!G60</f>
        <v>0</v>
      </c>
      <c r="AU58" t="e">
        <f>Yields!E60</f>
        <v>#DIV/0!</v>
      </c>
      <c r="AV58">
        <f>'Plate Planning'!$K$19</f>
        <v>0</v>
      </c>
      <c r="AW58">
        <f>'Plate Planning'!$L$19</f>
        <v>0</v>
      </c>
      <c r="AX58">
        <f>'Uncorrected Area Counts'!H60</f>
        <v>0</v>
      </c>
      <c r="AY58" t="e">
        <f>Yields!F60</f>
        <v>#DIV/0!</v>
      </c>
      <c r="AZ58">
        <f>'Plate Planning'!$K$20</f>
        <v>0</v>
      </c>
      <c r="BA58">
        <f>'Plate Planning'!$L$20</f>
        <v>0</v>
      </c>
      <c r="BB58">
        <f>'Uncorrected Area Counts'!I60</f>
        <v>0</v>
      </c>
      <c r="BC58" t="e">
        <f>Yields!G60</f>
        <v>#DIV/0!</v>
      </c>
      <c r="BD58">
        <f>'Plate Planning'!$K$21</f>
        <v>0</v>
      </c>
      <c r="BE58">
        <f>'Plate Planning'!$L$21</f>
        <v>0</v>
      </c>
      <c r="BF58">
        <f>'Uncorrected Area Counts'!J60</f>
        <v>0</v>
      </c>
      <c r="BG58" t="e">
        <f>Yields!H60</f>
        <v>#DIV/0!</v>
      </c>
      <c r="BH58">
        <f>'Plate Planning'!$K$22</f>
        <v>0</v>
      </c>
      <c r="BI58">
        <f>'Plate Planning'!$L$22</f>
        <v>0</v>
      </c>
      <c r="BJ58">
        <f>'Uncorrected Area Counts'!K60</f>
        <v>0</v>
      </c>
      <c r="BK58" t="e">
        <f>Yields!I60</f>
        <v>#DIV/0!</v>
      </c>
      <c r="BL58">
        <f>'Plate Planning'!$K$23</f>
        <v>0</v>
      </c>
      <c r="BM58">
        <f>'Plate Planning'!$L$23</f>
        <v>0</v>
      </c>
      <c r="BN58">
        <f>'Uncorrected Area Counts'!L60</f>
        <v>0</v>
      </c>
      <c r="BO58" t="e">
        <f>Yields!J60</f>
        <v>#DIV/0!</v>
      </c>
      <c r="BP58">
        <f>'Plate Planning'!$K$24</f>
        <v>0</v>
      </c>
      <c r="BQ58">
        <f>'Plate Planning'!$L$24</f>
        <v>0</v>
      </c>
      <c r="BR58">
        <f>'Uncorrected Area Counts'!M60</f>
        <v>0</v>
      </c>
      <c r="BS58" t="e">
        <f>Yields!K60</f>
        <v>#DIV/0!</v>
      </c>
      <c r="BT58">
        <f>'Plate Planning'!$L$17</f>
        <v>0</v>
      </c>
      <c r="BU58">
        <f>'Plate Planning'!$M$17</f>
        <v>0</v>
      </c>
      <c r="BV58">
        <f>'Uncorrected Area Counts'!F60</f>
        <v>0</v>
      </c>
    </row>
    <row r="59" spans="1:74">
      <c r="A59" s="1">
        <v>58</v>
      </c>
      <c r="B59" s="1">
        <v>10</v>
      </c>
      <c r="C59" s="1">
        <v>5</v>
      </c>
      <c r="D59" s="1">
        <f>'Plate Planning'!$H$16</f>
        <v>0</v>
      </c>
      <c r="E59" s="1" t="str">
        <f>'Plate Planning'!$H$17</f>
        <v>LC-MS</v>
      </c>
      <c r="F59" s="1">
        <f>'Plate Planning'!$H$18</f>
        <v>500</v>
      </c>
      <c r="G59" s="1">
        <f>'Plate Planning'!$H$20</f>
        <v>25</v>
      </c>
      <c r="H59" s="1">
        <f>'Plate Planning'!$H$19</f>
        <v>24</v>
      </c>
      <c r="I59" s="1" t="b">
        <f>'Plate Planning'!$H$21</f>
        <v>1</v>
      </c>
      <c r="J59" s="1" t="str">
        <f>IF('Plate Planning'!$H$22=0, "NA",'Plate Planning'!$H$22)</f>
        <v>NA</v>
      </c>
      <c r="K59" s="1">
        <f>Reagents!$D$2</f>
        <v>0</v>
      </c>
      <c r="L59" s="1">
        <f>Reagents!$D$2</f>
        <v>0</v>
      </c>
      <c r="M59" s="1">
        <f>Reagents!$J$2</f>
        <v>0</v>
      </c>
      <c r="N59" s="1">
        <f>Reagents!$D$3</f>
        <v>0</v>
      </c>
      <c r="O59" s="1">
        <f>Reagents!$J$3</f>
        <v>0</v>
      </c>
      <c r="P59" s="1">
        <f>Reagents!$D$4</f>
        <v>0</v>
      </c>
      <c r="Q59" s="1">
        <f>Reagents!$J$4</f>
        <v>0</v>
      </c>
      <c r="R59" s="1">
        <f>Reagents!$D$5</f>
        <v>0</v>
      </c>
      <c r="S59" s="1">
        <f>Reagents!$J$5</f>
        <v>0</v>
      </c>
      <c r="T59" s="1">
        <f>Reagents!$D$6</f>
        <v>0</v>
      </c>
      <c r="U59" s="1">
        <f>Reagents!$J$6</f>
        <v>0</v>
      </c>
      <c r="V59" s="1">
        <f>Reagents!$D$7</f>
        <v>0</v>
      </c>
      <c r="W59" s="1">
        <f>Reagents!$J$7</f>
        <v>0</v>
      </c>
      <c r="X59" s="1">
        <f>Reagents!$D$8</f>
        <v>0</v>
      </c>
      <c r="Y59" s="1">
        <f>Reagents!$J$8</f>
        <v>0</v>
      </c>
      <c r="Z59" s="1">
        <f>Reagents!$D$9</f>
        <v>0</v>
      </c>
      <c r="AA59" s="1">
        <f>Reagents!$J$9</f>
        <v>0</v>
      </c>
      <c r="AB59" s="1">
        <f>Reagents!$D$10</f>
        <v>0</v>
      </c>
      <c r="AC59" s="1">
        <f>Reagents!$J$10</f>
        <v>0</v>
      </c>
      <c r="AD59" s="1">
        <f>Reagents!$D$11</f>
        <v>0</v>
      </c>
      <c r="AE59" s="1">
        <f>Reagents!$J$11</f>
        <v>0</v>
      </c>
      <c r="AF59" t="str">
        <f>Reagents!$C$21</f>
        <v>-</v>
      </c>
      <c r="AG59">
        <f>Reagents!$D$21</f>
        <v>0</v>
      </c>
      <c r="AH59">
        <f>Reagents!$J$21</f>
        <v>0</v>
      </c>
      <c r="AI59" t="str">
        <f>Reagents!$C$33</f>
        <v>-</v>
      </c>
      <c r="AJ59">
        <f>Reagents!$D$33</f>
        <v>0</v>
      </c>
      <c r="AK59">
        <f>Reagents!$J$33</f>
        <v>0</v>
      </c>
      <c r="AL59" t="str">
        <f>Reagents!$C$40</f>
        <v>-</v>
      </c>
      <c r="AM59">
        <f>Reagents!$D$40</f>
        <v>0</v>
      </c>
      <c r="AN59">
        <f>Reagents!$J$40</f>
        <v>0</v>
      </c>
      <c r="AO59" t="str">
        <f>Reagents!$C$48</f>
        <v>-</v>
      </c>
      <c r="AP59">
        <f>Reagents!$D$48</f>
        <v>0</v>
      </c>
      <c r="AQ59">
        <f>Reagents!$J$48</f>
        <v>0</v>
      </c>
      <c r="AR59">
        <f>'Plate Planning'!$K$18</f>
        <v>0</v>
      </c>
      <c r="AS59">
        <f>'Plate Planning'!$L$18</f>
        <v>0</v>
      </c>
      <c r="AT59">
        <f>'Uncorrected Area Counts'!G61</f>
        <v>0</v>
      </c>
      <c r="AU59" t="e">
        <f>Yields!E61</f>
        <v>#DIV/0!</v>
      </c>
      <c r="AV59">
        <f>'Plate Planning'!$K$19</f>
        <v>0</v>
      </c>
      <c r="AW59">
        <f>'Plate Planning'!$L$19</f>
        <v>0</v>
      </c>
      <c r="AX59">
        <f>'Uncorrected Area Counts'!H61</f>
        <v>0</v>
      </c>
      <c r="AY59" t="e">
        <f>Yields!F61</f>
        <v>#DIV/0!</v>
      </c>
      <c r="AZ59">
        <f>'Plate Planning'!$K$20</f>
        <v>0</v>
      </c>
      <c r="BA59">
        <f>'Plate Planning'!$L$20</f>
        <v>0</v>
      </c>
      <c r="BB59">
        <f>'Uncorrected Area Counts'!I61</f>
        <v>0</v>
      </c>
      <c r="BC59" t="e">
        <f>Yields!G61</f>
        <v>#DIV/0!</v>
      </c>
      <c r="BD59">
        <f>'Plate Planning'!$K$21</f>
        <v>0</v>
      </c>
      <c r="BE59">
        <f>'Plate Planning'!$L$21</f>
        <v>0</v>
      </c>
      <c r="BF59">
        <f>'Uncorrected Area Counts'!J61</f>
        <v>0</v>
      </c>
      <c r="BG59" t="e">
        <f>Yields!H61</f>
        <v>#DIV/0!</v>
      </c>
      <c r="BH59">
        <f>'Plate Planning'!$K$22</f>
        <v>0</v>
      </c>
      <c r="BI59">
        <f>'Plate Planning'!$L$22</f>
        <v>0</v>
      </c>
      <c r="BJ59">
        <f>'Uncorrected Area Counts'!K61</f>
        <v>0</v>
      </c>
      <c r="BK59" t="e">
        <f>Yields!I61</f>
        <v>#DIV/0!</v>
      </c>
      <c r="BL59">
        <f>'Plate Planning'!$K$23</f>
        <v>0</v>
      </c>
      <c r="BM59">
        <f>'Plate Planning'!$L$23</f>
        <v>0</v>
      </c>
      <c r="BN59">
        <f>'Uncorrected Area Counts'!L61</f>
        <v>0</v>
      </c>
      <c r="BO59" t="e">
        <f>Yields!J61</f>
        <v>#DIV/0!</v>
      </c>
      <c r="BP59">
        <f>'Plate Planning'!$K$24</f>
        <v>0</v>
      </c>
      <c r="BQ59">
        <f>'Plate Planning'!$L$24</f>
        <v>0</v>
      </c>
      <c r="BR59">
        <f>'Uncorrected Area Counts'!M61</f>
        <v>0</v>
      </c>
      <c r="BS59" t="e">
        <f>Yields!K61</f>
        <v>#DIV/0!</v>
      </c>
      <c r="BT59">
        <f>'Plate Planning'!$L$17</f>
        <v>0</v>
      </c>
      <c r="BU59">
        <f>'Plate Planning'!$M$17</f>
        <v>0</v>
      </c>
      <c r="BV59">
        <f>'Uncorrected Area Counts'!F61</f>
        <v>0</v>
      </c>
    </row>
    <row r="60" spans="1:74">
      <c r="A60" s="1">
        <v>59</v>
      </c>
      <c r="B60" s="1">
        <v>11</v>
      </c>
      <c r="C60" s="1">
        <v>5</v>
      </c>
      <c r="D60" s="1">
        <f>'Plate Planning'!$H$16</f>
        <v>0</v>
      </c>
      <c r="E60" s="1" t="str">
        <f>'Plate Planning'!$H$17</f>
        <v>LC-MS</v>
      </c>
      <c r="F60" s="1">
        <f>'Plate Planning'!$H$18</f>
        <v>500</v>
      </c>
      <c r="G60" s="1">
        <f>'Plate Planning'!$H$20</f>
        <v>25</v>
      </c>
      <c r="H60" s="1">
        <f>'Plate Planning'!$H$19</f>
        <v>24</v>
      </c>
      <c r="I60" s="1" t="b">
        <f>'Plate Planning'!$H$21</f>
        <v>1</v>
      </c>
      <c r="J60" s="1" t="str">
        <f>IF('Plate Planning'!$H$22=0, "NA",'Plate Planning'!$H$22)</f>
        <v>NA</v>
      </c>
      <c r="K60" s="1">
        <f>Reagents!$D$2</f>
        <v>0</v>
      </c>
      <c r="L60" s="1">
        <f>Reagents!$D$2</f>
        <v>0</v>
      </c>
      <c r="M60" s="1">
        <f>Reagents!$J$2</f>
        <v>0</v>
      </c>
      <c r="N60" s="1">
        <f>Reagents!$D$3</f>
        <v>0</v>
      </c>
      <c r="O60" s="1">
        <f>Reagents!$J$3</f>
        <v>0</v>
      </c>
      <c r="P60" s="1">
        <f>Reagents!$D$4</f>
        <v>0</v>
      </c>
      <c r="Q60" s="1">
        <f>Reagents!$J$4</f>
        <v>0</v>
      </c>
      <c r="R60" s="1">
        <f>Reagents!$D$5</f>
        <v>0</v>
      </c>
      <c r="S60" s="1">
        <f>Reagents!$J$5</f>
        <v>0</v>
      </c>
      <c r="T60" s="1">
        <f>Reagents!$D$6</f>
        <v>0</v>
      </c>
      <c r="U60" s="1">
        <f>Reagents!$J$6</f>
        <v>0</v>
      </c>
      <c r="V60" s="1">
        <f>Reagents!$D$7</f>
        <v>0</v>
      </c>
      <c r="W60" s="1">
        <f>Reagents!$J$7</f>
        <v>0</v>
      </c>
      <c r="X60" s="1">
        <f>Reagents!$D$8</f>
        <v>0</v>
      </c>
      <c r="Y60" s="1">
        <f>Reagents!$J$8</f>
        <v>0</v>
      </c>
      <c r="Z60" s="1">
        <f>Reagents!$D$9</f>
        <v>0</v>
      </c>
      <c r="AA60" s="1">
        <f>Reagents!$J$9</f>
        <v>0</v>
      </c>
      <c r="AB60" s="1">
        <f>Reagents!$D$10</f>
        <v>0</v>
      </c>
      <c r="AC60" s="1">
        <f>Reagents!$J$10</f>
        <v>0</v>
      </c>
      <c r="AD60" s="1">
        <f>Reagents!$D$11</f>
        <v>0</v>
      </c>
      <c r="AE60" s="1">
        <f>Reagents!$J$11</f>
        <v>0</v>
      </c>
      <c r="AF60" t="str">
        <f>Reagents!$C$22</f>
        <v>-</v>
      </c>
      <c r="AG60">
        <f>Reagents!$D$22</f>
        <v>0</v>
      </c>
      <c r="AH60">
        <f>Reagents!$J$22</f>
        <v>0</v>
      </c>
      <c r="AI60" t="str">
        <f>Reagents!$C$34</f>
        <v>-</v>
      </c>
      <c r="AJ60">
        <f>Reagents!$D$34</f>
        <v>0</v>
      </c>
      <c r="AK60">
        <f>Reagents!$J$34</f>
        <v>0</v>
      </c>
      <c r="AL60" t="str">
        <f>Reagents!$C$40</f>
        <v>-</v>
      </c>
      <c r="AM60">
        <f>Reagents!$D$40</f>
        <v>0</v>
      </c>
      <c r="AN60">
        <f>Reagents!$J$40</f>
        <v>0</v>
      </c>
      <c r="AO60" t="str">
        <f>Reagents!$C$48</f>
        <v>-</v>
      </c>
      <c r="AP60">
        <f>Reagents!$D$48</f>
        <v>0</v>
      </c>
      <c r="AQ60">
        <f>Reagents!$J$48</f>
        <v>0</v>
      </c>
      <c r="AR60">
        <f>'Plate Planning'!$K$18</f>
        <v>0</v>
      </c>
      <c r="AS60">
        <f>'Plate Planning'!$L$18</f>
        <v>0</v>
      </c>
      <c r="AT60">
        <f>'Uncorrected Area Counts'!G62</f>
        <v>0</v>
      </c>
      <c r="AU60" t="e">
        <f>Yields!E62</f>
        <v>#DIV/0!</v>
      </c>
      <c r="AV60">
        <f>'Plate Planning'!$K$19</f>
        <v>0</v>
      </c>
      <c r="AW60">
        <f>'Plate Planning'!$L$19</f>
        <v>0</v>
      </c>
      <c r="AX60">
        <f>'Uncorrected Area Counts'!H62</f>
        <v>0</v>
      </c>
      <c r="AY60" t="e">
        <f>Yields!F62</f>
        <v>#DIV/0!</v>
      </c>
      <c r="AZ60">
        <f>'Plate Planning'!$K$20</f>
        <v>0</v>
      </c>
      <c r="BA60">
        <f>'Plate Planning'!$L$20</f>
        <v>0</v>
      </c>
      <c r="BB60">
        <f>'Uncorrected Area Counts'!I62</f>
        <v>0</v>
      </c>
      <c r="BC60" t="e">
        <f>Yields!G62</f>
        <v>#DIV/0!</v>
      </c>
      <c r="BD60">
        <f>'Plate Planning'!$K$21</f>
        <v>0</v>
      </c>
      <c r="BE60">
        <f>'Plate Planning'!$L$21</f>
        <v>0</v>
      </c>
      <c r="BF60">
        <f>'Uncorrected Area Counts'!J62</f>
        <v>0</v>
      </c>
      <c r="BG60" t="e">
        <f>Yields!H62</f>
        <v>#DIV/0!</v>
      </c>
      <c r="BH60">
        <f>'Plate Planning'!$K$22</f>
        <v>0</v>
      </c>
      <c r="BI60">
        <f>'Plate Planning'!$L$22</f>
        <v>0</v>
      </c>
      <c r="BJ60">
        <f>'Uncorrected Area Counts'!K62</f>
        <v>0</v>
      </c>
      <c r="BK60" t="e">
        <f>Yields!I62</f>
        <v>#DIV/0!</v>
      </c>
      <c r="BL60">
        <f>'Plate Planning'!$K$23</f>
        <v>0</v>
      </c>
      <c r="BM60">
        <f>'Plate Planning'!$L$23</f>
        <v>0</v>
      </c>
      <c r="BN60">
        <f>'Uncorrected Area Counts'!L62</f>
        <v>0</v>
      </c>
      <c r="BO60" t="e">
        <f>Yields!J62</f>
        <v>#DIV/0!</v>
      </c>
      <c r="BP60">
        <f>'Plate Planning'!$K$24</f>
        <v>0</v>
      </c>
      <c r="BQ60">
        <f>'Plate Planning'!$L$24</f>
        <v>0</v>
      </c>
      <c r="BR60">
        <f>'Uncorrected Area Counts'!M62</f>
        <v>0</v>
      </c>
      <c r="BS60" t="e">
        <f>Yields!K62</f>
        <v>#DIV/0!</v>
      </c>
      <c r="BT60">
        <f>'Plate Planning'!$L$17</f>
        <v>0</v>
      </c>
      <c r="BU60">
        <f>'Plate Planning'!$M$17</f>
        <v>0</v>
      </c>
      <c r="BV60">
        <f>'Uncorrected Area Counts'!F62</f>
        <v>0</v>
      </c>
    </row>
    <row r="61" spans="1:74">
      <c r="A61" s="1">
        <v>60</v>
      </c>
      <c r="B61" s="1">
        <v>12</v>
      </c>
      <c r="C61" s="1">
        <v>5</v>
      </c>
      <c r="D61" s="1">
        <f>'Plate Planning'!$H$16</f>
        <v>0</v>
      </c>
      <c r="E61" s="1" t="str">
        <f>'Plate Planning'!$H$17</f>
        <v>LC-MS</v>
      </c>
      <c r="F61" s="1">
        <f>'Plate Planning'!$H$18</f>
        <v>500</v>
      </c>
      <c r="G61" s="1">
        <f>'Plate Planning'!$H$20</f>
        <v>25</v>
      </c>
      <c r="H61" s="1">
        <f>'Plate Planning'!$H$19</f>
        <v>24</v>
      </c>
      <c r="I61" s="1" t="b">
        <f>'Plate Planning'!$H$21</f>
        <v>1</v>
      </c>
      <c r="J61" s="1" t="str">
        <f>IF('Plate Planning'!$H$22=0, "NA",'Plate Planning'!$H$22)</f>
        <v>NA</v>
      </c>
      <c r="K61" s="1">
        <f>Reagents!$D$2</f>
        <v>0</v>
      </c>
      <c r="L61" s="1">
        <f>Reagents!$D$2</f>
        <v>0</v>
      </c>
      <c r="M61" s="1">
        <f>Reagents!$J$2</f>
        <v>0</v>
      </c>
      <c r="N61" s="1">
        <f>Reagents!$D$3</f>
        <v>0</v>
      </c>
      <c r="O61" s="1">
        <f>Reagents!$J$3</f>
        <v>0</v>
      </c>
      <c r="P61" s="1">
        <f>Reagents!$D$4</f>
        <v>0</v>
      </c>
      <c r="Q61" s="1">
        <f>Reagents!$J$4</f>
        <v>0</v>
      </c>
      <c r="R61" s="1">
        <f>Reagents!$D$5</f>
        <v>0</v>
      </c>
      <c r="S61" s="1">
        <f>Reagents!$J$5</f>
        <v>0</v>
      </c>
      <c r="T61" s="1">
        <f>Reagents!$D$6</f>
        <v>0</v>
      </c>
      <c r="U61" s="1">
        <f>Reagents!$J$6</f>
        <v>0</v>
      </c>
      <c r="V61" s="1">
        <f>Reagents!$D$7</f>
        <v>0</v>
      </c>
      <c r="W61" s="1">
        <f>Reagents!$J$7</f>
        <v>0</v>
      </c>
      <c r="X61" s="1">
        <f>Reagents!$D$8</f>
        <v>0</v>
      </c>
      <c r="Y61" s="1">
        <f>Reagents!$J$8</f>
        <v>0</v>
      </c>
      <c r="Z61" s="1">
        <f>Reagents!$D$9</f>
        <v>0</v>
      </c>
      <c r="AA61" s="1">
        <f>Reagents!$J$9</f>
        <v>0</v>
      </c>
      <c r="AB61" s="1">
        <f>Reagents!$D$10</f>
        <v>0</v>
      </c>
      <c r="AC61" s="1">
        <f>Reagents!$J$10</f>
        <v>0</v>
      </c>
      <c r="AD61" s="1">
        <f>Reagents!$D$11</f>
        <v>0</v>
      </c>
      <c r="AE61" s="1">
        <f>Reagents!$J$11</f>
        <v>0</v>
      </c>
      <c r="AF61" t="str">
        <f>Reagents!$C$23</f>
        <v>-</v>
      </c>
      <c r="AG61">
        <f>Reagents!$D$23</f>
        <v>0</v>
      </c>
      <c r="AH61">
        <f>Reagents!$J$23</f>
        <v>0</v>
      </c>
      <c r="AI61" t="str">
        <f>Reagents!$C$35</f>
        <v>-</v>
      </c>
      <c r="AJ61">
        <f>Reagents!$D$35</f>
        <v>0</v>
      </c>
      <c r="AK61">
        <f>Reagents!$J$35</f>
        <v>0</v>
      </c>
      <c r="AL61" t="str">
        <f>Reagents!$C$40</f>
        <v>-</v>
      </c>
      <c r="AM61">
        <f>Reagents!$D$40</f>
        <v>0</v>
      </c>
      <c r="AN61">
        <f>Reagents!$J$40</f>
        <v>0</v>
      </c>
      <c r="AO61" t="str">
        <f>Reagents!$C$48</f>
        <v>-</v>
      </c>
      <c r="AP61">
        <f>Reagents!$D$48</f>
        <v>0</v>
      </c>
      <c r="AQ61">
        <f>Reagents!$J$48</f>
        <v>0</v>
      </c>
      <c r="AR61">
        <f>'Plate Planning'!$K$18</f>
        <v>0</v>
      </c>
      <c r="AS61">
        <f>'Plate Planning'!$L$18</f>
        <v>0</v>
      </c>
      <c r="AT61">
        <f>'Uncorrected Area Counts'!G63</f>
        <v>0</v>
      </c>
      <c r="AU61" t="e">
        <f>Yields!E63</f>
        <v>#DIV/0!</v>
      </c>
      <c r="AV61">
        <f>'Plate Planning'!$K$19</f>
        <v>0</v>
      </c>
      <c r="AW61">
        <f>'Plate Planning'!$L$19</f>
        <v>0</v>
      </c>
      <c r="AX61">
        <f>'Uncorrected Area Counts'!H63</f>
        <v>0</v>
      </c>
      <c r="AY61" t="e">
        <f>Yields!F63</f>
        <v>#DIV/0!</v>
      </c>
      <c r="AZ61">
        <f>'Plate Planning'!$K$20</f>
        <v>0</v>
      </c>
      <c r="BA61">
        <f>'Plate Planning'!$L$20</f>
        <v>0</v>
      </c>
      <c r="BB61">
        <f>'Uncorrected Area Counts'!I63</f>
        <v>0</v>
      </c>
      <c r="BC61" t="e">
        <f>Yields!G63</f>
        <v>#DIV/0!</v>
      </c>
      <c r="BD61">
        <f>'Plate Planning'!$K$21</f>
        <v>0</v>
      </c>
      <c r="BE61">
        <f>'Plate Planning'!$L$21</f>
        <v>0</v>
      </c>
      <c r="BF61">
        <f>'Uncorrected Area Counts'!J63</f>
        <v>0</v>
      </c>
      <c r="BG61" t="e">
        <f>Yields!H63</f>
        <v>#DIV/0!</v>
      </c>
      <c r="BH61">
        <f>'Plate Planning'!$K$22</f>
        <v>0</v>
      </c>
      <c r="BI61">
        <f>'Plate Planning'!$L$22</f>
        <v>0</v>
      </c>
      <c r="BJ61">
        <f>'Uncorrected Area Counts'!K63</f>
        <v>0</v>
      </c>
      <c r="BK61" t="e">
        <f>Yields!I63</f>
        <v>#DIV/0!</v>
      </c>
      <c r="BL61">
        <f>'Plate Planning'!$K$23</f>
        <v>0</v>
      </c>
      <c r="BM61">
        <f>'Plate Planning'!$L$23</f>
        <v>0</v>
      </c>
      <c r="BN61">
        <f>'Uncorrected Area Counts'!L63</f>
        <v>0</v>
      </c>
      <c r="BO61" t="e">
        <f>Yields!J63</f>
        <v>#DIV/0!</v>
      </c>
      <c r="BP61">
        <f>'Plate Planning'!$K$24</f>
        <v>0</v>
      </c>
      <c r="BQ61">
        <f>'Plate Planning'!$L$24</f>
        <v>0</v>
      </c>
      <c r="BR61">
        <f>'Uncorrected Area Counts'!M63</f>
        <v>0</v>
      </c>
      <c r="BS61" t="e">
        <f>Yields!K63</f>
        <v>#DIV/0!</v>
      </c>
      <c r="BT61">
        <f>'Plate Planning'!$L$17</f>
        <v>0</v>
      </c>
      <c r="BU61">
        <f>'Plate Planning'!$M$17</f>
        <v>0</v>
      </c>
      <c r="BV61">
        <f>'Uncorrected Area Counts'!F63</f>
        <v>0</v>
      </c>
    </row>
    <row r="62" spans="1:74">
      <c r="A62" s="1">
        <v>61</v>
      </c>
      <c r="B62" s="1">
        <v>1</v>
      </c>
      <c r="C62" s="1">
        <v>6</v>
      </c>
      <c r="D62" s="1">
        <f>'Plate Planning'!$H$16</f>
        <v>0</v>
      </c>
      <c r="E62" s="1" t="str">
        <f>'Plate Planning'!$H$17</f>
        <v>LC-MS</v>
      </c>
      <c r="F62" s="1">
        <f>'Plate Planning'!$H$18</f>
        <v>500</v>
      </c>
      <c r="G62" s="1">
        <f>'Plate Planning'!$H$20</f>
        <v>25</v>
      </c>
      <c r="H62" s="1">
        <f>'Plate Planning'!$H$19</f>
        <v>24</v>
      </c>
      <c r="I62" s="1" t="b">
        <f>'Plate Planning'!$H$21</f>
        <v>1</v>
      </c>
      <c r="J62" s="1" t="str">
        <f>IF('Plate Planning'!$H$22=0, "NA",'Plate Planning'!$H$22)</f>
        <v>NA</v>
      </c>
      <c r="K62" s="1">
        <f>Reagents!$D$2</f>
        <v>0</v>
      </c>
      <c r="L62" s="1">
        <f>Reagents!$D$2</f>
        <v>0</v>
      </c>
      <c r="M62" s="1">
        <f>Reagents!$J$2</f>
        <v>0</v>
      </c>
      <c r="N62" s="1">
        <f>Reagents!$D$3</f>
        <v>0</v>
      </c>
      <c r="O62" s="1">
        <f>Reagents!$J$3</f>
        <v>0</v>
      </c>
      <c r="P62" s="1">
        <f>Reagents!$D$4</f>
        <v>0</v>
      </c>
      <c r="Q62" s="1">
        <f>Reagents!$J$4</f>
        <v>0</v>
      </c>
      <c r="R62" s="1">
        <f>Reagents!$D$5</f>
        <v>0</v>
      </c>
      <c r="S62" s="1">
        <f>Reagents!$J$5</f>
        <v>0</v>
      </c>
      <c r="T62" s="1">
        <f>Reagents!$D$6</f>
        <v>0</v>
      </c>
      <c r="U62" s="1">
        <f>Reagents!$J$6</f>
        <v>0</v>
      </c>
      <c r="V62" s="1">
        <f>Reagents!$D$7</f>
        <v>0</v>
      </c>
      <c r="W62" s="1">
        <f>Reagents!$J$7</f>
        <v>0</v>
      </c>
      <c r="X62" s="1">
        <f>Reagents!$D$8</f>
        <v>0</v>
      </c>
      <c r="Y62" s="1">
        <f>Reagents!$J$8</f>
        <v>0</v>
      </c>
      <c r="Z62" s="1">
        <f>Reagents!$D$9</f>
        <v>0</v>
      </c>
      <c r="AA62" s="1">
        <f>Reagents!$J$9</f>
        <v>0</v>
      </c>
      <c r="AB62" s="1">
        <f>Reagents!$D$10</f>
        <v>0</v>
      </c>
      <c r="AC62" s="1">
        <f>Reagents!$J$10</f>
        <v>0</v>
      </c>
      <c r="AD62" s="1">
        <f>Reagents!$D$11</f>
        <v>0</v>
      </c>
      <c r="AE62" s="1">
        <f>Reagents!$J$11</f>
        <v>0</v>
      </c>
      <c r="AF62" t="str">
        <f>Reagents!$C$12</f>
        <v>-</v>
      </c>
      <c r="AG62">
        <f>Reagents!$D$12</f>
        <v>0</v>
      </c>
      <c r="AH62">
        <f>Reagents!$J$12</f>
        <v>0</v>
      </c>
      <c r="AI62" t="str">
        <f>Reagents!$C$24</f>
        <v>-</v>
      </c>
      <c r="AJ62">
        <f>Reagents!$D$24</f>
        <v>0</v>
      </c>
      <c r="AK62">
        <f>Reagents!$J$24</f>
        <v>0</v>
      </c>
      <c r="AL62" t="str">
        <f>Reagents!$C$41</f>
        <v>-</v>
      </c>
      <c r="AM62">
        <f>Reagents!$D$41</f>
        <v>0</v>
      </c>
      <c r="AN62">
        <f>Reagents!$J$41</f>
        <v>0</v>
      </c>
      <c r="AO62" t="str">
        <f>Reagents!$C$49</f>
        <v>-</v>
      </c>
      <c r="AP62">
        <f>Reagents!$D$49</f>
        <v>0</v>
      </c>
      <c r="AQ62">
        <f>Reagents!$J$49</f>
        <v>0</v>
      </c>
      <c r="AR62">
        <f>'Plate Planning'!$K$18</f>
        <v>0</v>
      </c>
      <c r="AS62">
        <f>'Plate Planning'!$L$18</f>
        <v>0</v>
      </c>
      <c r="AT62">
        <f>'Uncorrected Area Counts'!G64</f>
        <v>0</v>
      </c>
      <c r="AU62" t="e">
        <f>Yields!E64</f>
        <v>#DIV/0!</v>
      </c>
      <c r="AV62">
        <f>'Plate Planning'!$K$19</f>
        <v>0</v>
      </c>
      <c r="AW62">
        <f>'Plate Planning'!$L$19</f>
        <v>0</v>
      </c>
      <c r="AX62">
        <f>'Uncorrected Area Counts'!H64</f>
        <v>0</v>
      </c>
      <c r="AY62" t="e">
        <f>Yields!F64</f>
        <v>#DIV/0!</v>
      </c>
      <c r="AZ62">
        <f>'Plate Planning'!$K$20</f>
        <v>0</v>
      </c>
      <c r="BA62">
        <f>'Plate Planning'!$L$20</f>
        <v>0</v>
      </c>
      <c r="BB62">
        <f>'Uncorrected Area Counts'!I64</f>
        <v>0</v>
      </c>
      <c r="BC62" t="e">
        <f>Yields!G64</f>
        <v>#DIV/0!</v>
      </c>
      <c r="BD62">
        <f>'Plate Planning'!$K$21</f>
        <v>0</v>
      </c>
      <c r="BE62">
        <f>'Plate Planning'!$L$21</f>
        <v>0</v>
      </c>
      <c r="BF62">
        <f>'Uncorrected Area Counts'!J64</f>
        <v>0</v>
      </c>
      <c r="BG62" t="e">
        <f>Yields!H64</f>
        <v>#DIV/0!</v>
      </c>
      <c r="BH62">
        <f>'Plate Planning'!$K$22</f>
        <v>0</v>
      </c>
      <c r="BI62">
        <f>'Plate Planning'!$L$22</f>
        <v>0</v>
      </c>
      <c r="BJ62">
        <f>'Uncorrected Area Counts'!K64</f>
        <v>0</v>
      </c>
      <c r="BK62" t="e">
        <f>Yields!I64</f>
        <v>#DIV/0!</v>
      </c>
      <c r="BL62">
        <f>'Plate Planning'!$K$23</f>
        <v>0</v>
      </c>
      <c r="BM62">
        <f>'Plate Planning'!$L$23</f>
        <v>0</v>
      </c>
      <c r="BN62">
        <f>'Uncorrected Area Counts'!L64</f>
        <v>0</v>
      </c>
      <c r="BO62" t="e">
        <f>Yields!J64</f>
        <v>#DIV/0!</v>
      </c>
      <c r="BP62">
        <f>'Plate Planning'!$K$24</f>
        <v>0</v>
      </c>
      <c r="BQ62">
        <f>'Plate Planning'!$L$24</f>
        <v>0</v>
      </c>
      <c r="BR62">
        <f>'Uncorrected Area Counts'!M64</f>
        <v>0</v>
      </c>
      <c r="BS62" t="e">
        <f>Yields!K64</f>
        <v>#DIV/0!</v>
      </c>
      <c r="BT62">
        <f>'Plate Planning'!$L$17</f>
        <v>0</v>
      </c>
      <c r="BU62">
        <f>'Plate Planning'!$M$17</f>
        <v>0</v>
      </c>
      <c r="BV62">
        <f>'Uncorrected Area Counts'!F64</f>
        <v>0</v>
      </c>
    </row>
    <row r="63" spans="1:74">
      <c r="A63" s="1">
        <v>62</v>
      </c>
      <c r="B63" s="1">
        <v>2</v>
      </c>
      <c r="C63" s="1">
        <v>6</v>
      </c>
      <c r="D63" s="1">
        <f>'Plate Planning'!$H$16</f>
        <v>0</v>
      </c>
      <c r="E63" s="1" t="str">
        <f>'Plate Planning'!$H$17</f>
        <v>LC-MS</v>
      </c>
      <c r="F63" s="1">
        <f>'Plate Planning'!$H$18</f>
        <v>500</v>
      </c>
      <c r="G63" s="1">
        <f>'Plate Planning'!$H$20</f>
        <v>25</v>
      </c>
      <c r="H63" s="1">
        <f>'Plate Planning'!$H$19</f>
        <v>24</v>
      </c>
      <c r="I63" s="1" t="b">
        <f>'Plate Planning'!$H$21</f>
        <v>1</v>
      </c>
      <c r="J63" s="1" t="str">
        <f>IF('Plate Planning'!$H$22=0, "NA",'Plate Planning'!$H$22)</f>
        <v>NA</v>
      </c>
      <c r="K63" s="1">
        <f>Reagents!$D$2</f>
        <v>0</v>
      </c>
      <c r="L63" s="1">
        <f>Reagents!$D$2</f>
        <v>0</v>
      </c>
      <c r="M63" s="1">
        <f>Reagents!$J$2</f>
        <v>0</v>
      </c>
      <c r="N63" s="1">
        <f>Reagents!$D$3</f>
        <v>0</v>
      </c>
      <c r="O63" s="1">
        <f>Reagents!$J$3</f>
        <v>0</v>
      </c>
      <c r="P63" s="1">
        <f>Reagents!$D$4</f>
        <v>0</v>
      </c>
      <c r="Q63" s="1">
        <f>Reagents!$J$4</f>
        <v>0</v>
      </c>
      <c r="R63" s="1">
        <f>Reagents!$D$5</f>
        <v>0</v>
      </c>
      <c r="S63" s="1">
        <f>Reagents!$J$5</f>
        <v>0</v>
      </c>
      <c r="T63" s="1">
        <f>Reagents!$D$6</f>
        <v>0</v>
      </c>
      <c r="U63" s="1">
        <f>Reagents!$J$6</f>
        <v>0</v>
      </c>
      <c r="V63" s="1">
        <f>Reagents!$D$7</f>
        <v>0</v>
      </c>
      <c r="W63" s="1">
        <f>Reagents!$J$7</f>
        <v>0</v>
      </c>
      <c r="X63" s="1">
        <f>Reagents!$D$8</f>
        <v>0</v>
      </c>
      <c r="Y63" s="1">
        <f>Reagents!$J$8</f>
        <v>0</v>
      </c>
      <c r="Z63" s="1">
        <f>Reagents!$D$9</f>
        <v>0</v>
      </c>
      <c r="AA63" s="1">
        <f>Reagents!$J$9</f>
        <v>0</v>
      </c>
      <c r="AB63" s="1">
        <f>Reagents!$D$10</f>
        <v>0</v>
      </c>
      <c r="AC63" s="1">
        <f>Reagents!$J$10</f>
        <v>0</v>
      </c>
      <c r="AD63" s="1">
        <f>Reagents!$D$11</f>
        <v>0</v>
      </c>
      <c r="AE63" s="1">
        <f>Reagents!$J$11</f>
        <v>0</v>
      </c>
      <c r="AF63" t="str">
        <f>Reagents!$C$13</f>
        <v>-</v>
      </c>
      <c r="AG63">
        <f>Reagents!$D$13</f>
        <v>0</v>
      </c>
      <c r="AH63">
        <f>Reagents!$J$13</f>
        <v>0</v>
      </c>
      <c r="AI63" t="str">
        <f>Reagents!$C$25</f>
        <v>-</v>
      </c>
      <c r="AJ63">
        <f>Reagents!$D$25</f>
        <v>0</v>
      </c>
      <c r="AK63">
        <f>Reagents!$J$25</f>
        <v>0</v>
      </c>
      <c r="AL63" t="str">
        <f>Reagents!$C$41</f>
        <v>-</v>
      </c>
      <c r="AM63">
        <f>Reagents!$D$41</f>
        <v>0</v>
      </c>
      <c r="AN63">
        <f>Reagents!$J$41</f>
        <v>0</v>
      </c>
      <c r="AO63" t="str">
        <f>Reagents!$C$49</f>
        <v>-</v>
      </c>
      <c r="AP63">
        <f>Reagents!$D$49</f>
        <v>0</v>
      </c>
      <c r="AQ63">
        <f>Reagents!$J$49</f>
        <v>0</v>
      </c>
      <c r="AR63">
        <f>'Plate Planning'!$K$18</f>
        <v>0</v>
      </c>
      <c r="AS63">
        <f>'Plate Planning'!$L$18</f>
        <v>0</v>
      </c>
      <c r="AT63">
        <f>'Uncorrected Area Counts'!G65</f>
        <v>0</v>
      </c>
      <c r="AU63" t="e">
        <f>Yields!E65</f>
        <v>#DIV/0!</v>
      </c>
      <c r="AV63">
        <f>'Plate Planning'!$K$19</f>
        <v>0</v>
      </c>
      <c r="AW63">
        <f>'Plate Planning'!$L$19</f>
        <v>0</v>
      </c>
      <c r="AX63">
        <f>'Uncorrected Area Counts'!H65</f>
        <v>0</v>
      </c>
      <c r="AY63" t="e">
        <f>Yields!F65</f>
        <v>#DIV/0!</v>
      </c>
      <c r="AZ63">
        <f>'Plate Planning'!$K$20</f>
        <v>0</v>
      </c>
      <c r="BA63">
        <f>'Plate Planning'!$L$20</f>
        <v>0</v>
      </c>
      <c r="BB63">
        <f>'Uncorrected Area Counts'!I65</f>
        <v>0</v>
      </c>
      <c r="BC63" t="e">
        <f>Yields!G65</f>
        <v>#DIV/0!</v>
      </c>
      <c r="BD63">
        <f>'Plate Planning'!$K$21</f>
        <v>0</v>
      </c>
      <c r="BE63">
        <f>'Plate Planning'!$L$21</f>
        <v>0</v>
      </c>
      <c r="BF63">
        <f>'Uncorrected Area Counts'!J65</f>
        <v>0</v>
      </c>
      <c r="BG63" t="e">
        <f>Yields!H65</f>
        <v>#DIV/0!</v>
      </c>
      <c r="BH63">
        <f>'Plate Planning'!$K$22</f>
        <v>0</v>
      </c>
      <c r="BI63">
        <f>'Plate Planning'!$L$22</f>
        <v>0</v>
      </c>
      <c r="BJ63">
        <f>'Uncorrected Area Counts'!K65</f>
        <v>0</v>
      </c>
      <c r="BK63" t="e">
        <f>Yields!I65</f>
        <v>#DIV/0!</v>
      </c>
      <c r="BL63">
        <f>'Plate Planning'!$K$23</f>
        <v>0</v>
      </c>
      <c r="BM63">
        <f>'Plate Planning'!$L$23</f>
        <v>0</v>
      </c>
      <c r="BN63">
        <f>'Uncorrected Area Counts'!L65</f>
        <v>0</v>
      </c>
      <c r="BO63" t="e">
        <f>Yields!J65</f>
        <v>#DIV/0!</v>
      </c>
      <c r="BP63">
        <f>'Plate Planning'!$K$24</f>
        <v>0</v>
      </c>
      <c r="BQ63">
        <f>'Plate Planning'!$L$24</f>
        <v>0</v>
      </c>
      <c r="BR63">
        <f>'Uncorrected Area Counts'!M65</f>
        <v>0</v>
      </c>
      <c r="BS63" t="e">
        <f>Yields!K65</f>
        <v>#DIV/0!</v>
      </c>
      <c r="BT63">
        <f>'Plate Planning'!$L$17</f>
        <v>0</v>
      </c>
      <c r="BU63">
        <f>'Plate Planning'!$M$17</f>
        <v>0</v>
      </c>
      <c r="BV63">
        <f>'Uncorrected Area Counts'!F65</f>
        <v>0</v>
      </c>
    </row>
    <row r="64" spans="1:74">
      <c r="A64" s="1">
        <v>63</v>
      </c>
      <c r="B64" s="1">
        <v>3</v>
      </c>
      <c r="C64" s="1">
        <v>6</v>
      </c>
      <c r="D64" s="1">
        <f>'Plate Planning'!$H$16</f>
        <v>0</v>
      </c>
      <c r="E64" s="1" t="str">
        <f>'Plate Planning'!$H$17</f>
        <v>LC-MS</v>
      </c>
      <c r="F64" s="1">
        <f>'Plate Planning'!$H$18</f>
        <v>500</v>
      </c>
      <c r="G64" s="1">
        <f>'Plate Planning'!$H$20</f>
        <v>25</v>
      </c>
      <c r="H64" s="1">
        <f>'Plate Planning'!$H$19</f>
        <v>24</v>
      </c>
      <c r="I64" s="1" t="b">
        <f>'Plate Planning'!$H$21</f>
        <v>1</v>
      </c>
      <c r="J64" s="1" t="str">
        <f>IF('Plate Planning'!$H$22=0, "NA",'Plate Planning'!$H$22)</f>
        <v>NA</v>
      </c>
      <c r="K64" s="1">
        <f>Reagents!$D$2</f>
        <v>0</v>
      </c>
      <c r="L64" s="1">
        <f>Reagents!$D$2</f>
        <v>0</v>
      </c>
      <c r="M64" s="1">
        <f>Reagents!$J$2</f>
        <v>0</v>
      </c>
      <c r="N64" s="1">
        <f>Reagents!$D$3</f>
        <v>0</v>
      </c>
      <c r="O64" s="1">
        <f>Reagents!$J$3</f>
        <v>0</v>
      </c>
      <c r="P64" s="1">
        <f>Reagents!$D$4</f>
        <v>0</v>
      </c>
      <c r="Q64" s="1">
        <f>Reagents!$J$4</f>
        <v>0</v>
      </c>
      <c r="R64" s="1">
        <f>Reagents!$D$5</f>
        <v>0</v>
      </c>
      <c r="S64" s="1">
        <f>Reagents!$J$5</f>
        <v>0</v>
      </c>
      <c r="T64" s="1">
        <f>Reagents!$D$6</f>
        <v>0</v>
      </c>
      <c r="U64" s="1">
        <f>Reagents!$J$6</f>
        <v>0</v>
      </c>
      <c r="V64" s="1">
        <f>Reagents!$D$7</f>
        <v>0</v>
      </c>
      <c r="W64" s="1">
        <f>Reagents!$J$7</f>
        <v>0</v>
      </c>
      <c r="X64" s="1">
        <f>Reagents!$D$8</f>
        <v>0</v>
      </c>
      <c r="Y64" s="1">
        <f>Reagents!$J$8</f>
        <v>0</v>
      </c>
      <c r="Z64" s="1">
        <f>Reagents!$D$9</f>
        <v>0</v>
      </c>
      <c r="AA64" s="1">
        <f>Reagents!$J$9</f>
        <v>0</v>
      </c>
      <c r="AB64" s="1">
        <f>Reagents!$D$10</f>
        <v>0</v>
      </c>
      <c r="AC64" s="1">
        <f>Reagents!$J$10</f>
        <v>0</v>
      </c>
      <c r="AD64" s="1">
        <f>Reagents!$D$11</f>
        <v>0</v>
      </c>
      <c r="AE64" s="1">
        <f>Reagents!$J$11</f>
        <v>0</v>
      </c>
      <c r="AF64" t="str">
        <f>Reagents!$C$14</f>
        <v>-</v>
      </c>
      <c r="AG64">
        <f>Reagents!$D$14</f>
        <v>0</v>
      </c>
      <c r="AH64">
        <f>Reagents!$J$14</f>
        <v>0</v>
      </c>
      <c r="AI64" t="str">
        <f>Reagents!$C$26</f>
        <v>-</v>
      </c>
      <c r="AJ64">
        <f>Reagents!$D$26</f>
        <v>0</v>
      </c>
      <c r="AK64">
        <f>Reagents!$J$26</f>
        <v>0</v>
      </c>
      <c r="AL64" t="str">
        <f>Reagents!$C$41</f>
        <v>-</v>
      </c>
      <c r="AM64">
        <f>Reagents!$D$41</f>
        <v>0</v>
      </c>
      <c r="AN64">
        <f>Reagents!$J$41</f>
        <v>0</v>
      </c>
      <c r="AO64" t="str">
        <f>Reagents!$C$49</f>
        <v>-</v>
      </c>
      <c r="AP64">
        <f>Reagents!$D$49</f>
        <v>0</v>
      </c>
      <c r="AQ64">
        <f>Reagents!$J$49</f>
        <v>0</v>
      </c>
      <c r="AR64">
        <f>'Plate Planning'!$K$18</f>
        <v>0</v>
      </c>
      <c r="AS64">
        <f>'Plate Planning'!$L$18</f>
        <v>0</v>
      </c>
      <c r="AT64">
        <f>'Uncorrected Area Counts'!G66</f>
        <v>0</v>
      </c>
      <c r="AU64" t="e">
        <f>Yields!E66</f>
        <v>#DIV/0!</v>
      </c>
      <c r="AV64">
        <f>'Plate Planning'!$K$19</f>
        <v>0</v>
      </c>
      <c r="AW64">
        <f>'Plate Planning'!$L$19</f>
        <v>0</v>
      </c>
      <c r="AX64">
        <f>'Uncorrected Area Counts'!H66</f>
        <v>0</v>
      </c>
      <c r="AY64" t="e">
        <f>Yields!F66</f>
        <v>#DIV/0!</v>
      </c>
      <c r="AZ64">
        <f>'Plate Planning'!$K$20</f>
        <v>0</v>
      </c>
      <c r="BA64">
        <f>'Plate Planning'!$L$20</f>
        <v>0</v>
      </c>
      <c r="BB64">
        <f>'Uncorrected Area Counts'!I66</f>
        <v>0</v>
      </c>
      <c r="BC64" t="e">
        <f>Yields!G66</f>
        <v>#DIV/0!</v>
      </c>
      <c r="BD64">
        <f>'Plate Planning'!$K$21</f>
        <v>0</v>
      </c>
      <c r="BE64">
        <f>'Plate Planning'!$L$21</f>
        <v>0</v>
      </c>
      <c r="BF64">
        <f>'Uncorrected Area Counts'!J66</f>
        <v>0</v>
      </c>
      <c r="BG64" t="e">
        <f>Yields!H66</f>
        <v>#DIV/0!</v>
      </c>
      <c r="BH64">
        <f>'Plate Planning'!$K$22</f>
        <v>0</v>
      </c>
      <c r="BI64">
        <f>'Plate Planning'!$L$22</f>
        <v>0</v>
      </c>
      <c r="BJ64">
        <f>'Uncorrected Area Counts'!K66</f>
        <v>0</v>
      </c>
      <c r="BK64" t="e">
        <f>Yields!I66</f>
        <v>#DIV/0!</v>
      </c>
      <c r="BL64">
        <f>'Plate Planning'!$K$23</f>
        <v>0</v>
      </c>
      <c r="BM64">
        <f>'Plate Planning'!$L$23</f>
        <v>0</v>
      </c>
      <c r="BN64">
        <f>'Uncorrected Area Counts'!L66</f>
        <v>0</v>
      </c>
      <c r="BO64" t="e">
        <f>Yields!J66</f>
        <v>#DIV/0!</v>
      </c>
      <c r="BP64">
        <f>'Plate Planning'!$K$24</f>
        <v>0</v>
      </c>
      <c r="BQ64">
        <f>'Plate Planning'!$L$24</f>
        <v>0</v>
      </c>
      <c r="BR64">
        <f>'Uncorrected Area Counts'!M66</f>
        <v>0</v>
      </c>
      <c r="BS64" t="e">
        <f>Yields!K66</f>
        <v>#DIV/0!</v>
      </c>
      <c r="BT64">
        <f>'Plate Planning'!$L$17</f>
        <v>0</v>
      </c>
      <c r="BU64">
        <f>'Plate Planning'!$M$17</f>
        <v>0</v>
      </c>
      <c r="BV64">
        <f>'Uncorrected Area Counts'!F66</f>
        <v>0</v>
      </c>
    </row>
    <row r="65" spans="1:74">
      <c r="A65" s="1">
        <v>64</v>
      </c>
      <c r="B65" s="1">
        <v>4</v>
      </c>
      <c r="C65" s="1">
        <v>6</v>
      </c>
      <c r="D65" s="1">
        <f>'Plate Planning'!$H$16</f>
        <v>0</v>
      </c>
      <c r="E65" s="1" t="str">
        <f>'Plate Planning'!$H$17</f>
        <v>LC-MS</v>
      </c>
      <c r="F65" s="1">
        <f>'Plate Planning'!$H$18</f>
        <v>500</v>
      </c>
      <c r="G65" s="1">
        <f>'Plate Planning'!$H$20</f>
        <v>25</v>
      </c>
      <c r="H65" s="1">
        <f>'Plate Planning'!$H$19</f>
        <v>24</v>
      </c>
      <c r="I65" s="1" t="b">
        <f>'Plate Planning'!$H$21</f>
        <v>1</v>
      </c>
      <c r="J65" s="1" t="str">
        <f>IF('Plate Planning'!$H$22=0, "NA",'Plate Planning'!$H$22)</f>
        <v>NA</v>
      </c>
      <c r="K65" s="1">
        <f>Reagents!$D$2</f>
        <v>0</v>
      </c>
      <c r="L65" s="1">
        <f>Reagents!$D$2</f>
        <v>0</v>
      </c>
      <c r="M65" s="1">
        <f>Reagents!$J$2</f>
        <v>0</v>
      </c>
      <c r="N65" s="1">
        <f>Reagents!$D$3</f>
        <v>0</v>
      </c>
      <c r="O65" s="1">
        <f>Reagents!$J$3</f>
        <v>0</v>
      </c>
      <c r="P65" s="1">
        <f>Reagents!$D$4</f>
        <v>0</v>
      </c>
      <c r="Q65" s="1">
        <f>Reagents!$J$4</f>
        <v>0</v>
      </c>
      <c r="R65" s="1">
        <f>Reagents!$D$5</f>
        <v>0</v>
      </c>
      <c r="S65" s="1">
        <f>Reagents!$J$5</f>
        <v>0</v>
      </c>
      <c r="T65" s="1">
        <f>Reagents!$D$6</f>
        <v>0</v>
      </c>
      <c r="U65" s="1">
        <f>Reagents!$J$6</f>
        <v>0</v>
      </c>
      <c r="V65" s="1">
        <f>Reagents!$D$7</f>
        <v>0</v>
      </c>
      <c r="W65" s="1">
        <f>Reagents!$J$7</f>
        <v>0</v>
      </c>
      <c r="X65" s="1">
        <f>Reagents!$D$8</f>
        <v>0</v>
      </c>
      <c r="Y65" s="1">
        <f>Reagents!$J$8</f>
        <v>0</v>
      </c>
      <c r="Z65" s="1">
        <f>Reagents!$D$9</f>
        <v>0</v>
      </c>
      <c r="AA65" s="1">
        <f>Reagents!$J$9</f>
        <v>0</v>
      </c>
      <c r="AB65" s="1">
        <f>Reagents!$D$10</f>
        <v>0</v>
      </c>
      <c r="AC65" s="1">
        <f>Reagents!$J$10</f>
        <v>0</v>
      </c>
      <c r="AD65" s="1">
        <f>Reagents!$D$11</f>
        <v>0</v>
      </c>
      <c r="AE65" s="1">
        <f>Reagents!$J$11</f>
        <v>0</v>
      </c>
      <c r="AF65" t="str">
        <f>Reagents!$C$15</f>
        <v>-</v>
      </c>
      <c r="AG65">
        <f>Reagents!$D$15</f>
        <v>0</v>
      </c>
      <c r="AH65">
        <f>Reagents!$J$15</f>
        <v>0</v>
      </c>
      <c r="AI65" t="str">
        <f>Reagents!$C$27</f>
        <v>-</v>
      </c>
      <c r="AJ65">
        <f>Reagents!$D$27</f>
        <v>0</v>
      </c>
      <c r="AK65">
        <f>Reagents!$J$27</f>
        <v>0</v>
      </c>
      <c r="AL65" t="str">
        <f>Reagents!$C$41</f>
        <v>-</v>
      </c>
      <c r="AM65">
        <f>Reagents!$D$41</f>
        <v>0</v>
      </c>
      <c r="AN65">
        <f>Reagents!$J$41</f>
        <v>0</v>
      </c>
      <c r="AO65" t="str">
        <f>Reagents!$C$49</f>
        <v>-</v>
      </c>
      <c r="AP65">
        <f>Reagents!$D$49</f>
        <v>0</v>
      </c>
      <c r="AQ65">
        <f>Reagents!$J$49</f>
        <v>0</v>
      </c>
      <c r="AR65">
        <f>'Plate Planning'!$K$18</f>
        <v>0</v>
      </c>
      <c r="AS65">
        <f>'Plate Planning'!$L$18</f>
        <v>0</v>
      </c>
      <c r="AT65">
        <f>'Uncorrected Area Counts'!G67</f>
        <v>0</v>
      </c>
      <c r="AU65" t="e">
        <f>Yields!E67</f>
        <v>#DIV/0!</v>
      </c>
      <c r="AV65">
        <f>'Plate Planning'!$K$19</f>
        <v>0</v>
      </c>
      <c r="AW65">
        <f>'Plate Planning'!$L$19</f>
        <v>0</v>
      </c>
      <c r="AX65">
        <f>'Uncorrected Area Counts'!H67</f>
        <v>0</v>
      </c>
      <c r="AY65" t="e">
        <f>Yields!F67</f>
        <v>#DIV/0!</v>
      </c>
      <c r="AZ65">
        <f>'Plate Planning'!$K$20</f>
        <v>0</v>
      </c>
      <c r="BA65">
        <f>'Plate Planning'!$L$20</f>
        <v>0</v>
      </c>
      <c r="BB65">
        <f>'Uncorrected Area Counts'!I67</f>
        <v>0</v>
      </c>
      <c r="BC65" t="e">
        <f>Yields!G67</f>
        <v>#DIV/0!</v>
      </c>
      <c r="BD65">
        <f>'Plate Planning'!$K$21</f>
        <v>0</v>
      </c>
      <c r="BE65">
        <f>'Plate Planning'!$L$21</f>
        <v>0</v>
      </c>
      <c r="BF65">
        <f>'Uncorrected Area Counts'!J67</f>
        <v>0</v>
      </c>
      <c r="BG65" t="e">
        <f>Yields!H67</f>
        <v>#DIV/0!</v>
      </c>
      <c r="BH65">
        <f>'Plate Planning'!$K$22</f>
        <v>0</v>
      </c>
      <c r="BI65">
        <f>'Plate Planning'!$L$22</f>
        <v>0</v>
      </c>
      <c r="BJ65">
        <f>'Uncorrected Area Counts'!K67</f>
        <v>0</v>
      </c>
      <c r="BK65" t="e">
        <f>Yields!I67</f>
        <v>#DIV/0!</v>
      </c>
      <c r="BL65">
        <f>'Plate Planning'!$K$23</f>
        <v>0</v>
      </c>
      <c r="BM65">
        <f>'Plate Planning'!$L$23</f>
        <v>0</v>
      </c>
      <c r="BN65">
        <f>'Uncorrected Area Counts'!L67</f>
        <v>0</v>
      </c>
      <c r="BO65" t="e">
        <f>Yields!J67</f>
        <v>#DIV/0!</v>
      </c>
      <c r="BP65">
        <f>'Plate Planning'!$K$24</f>
        <v>0</v>
      </c>
      <c r="BQ65">
        <f>'Plate Planning'!$L$24</f>
        <v>0</v>
      </c>
      <c r="BR65">
        <f>'Uncorrected Area Counts'!M67</f>
        <v>0</v>
      </c>
      <c r="BS65" t="e">
        <f>Yields!K67</f>
        <v>#DIV/0!</v>
      </c>
      <c r="BT65">
        <f>'Plate Planning'!$L$17</f>
        <v>0</v>
      </c>
      <c r="BU65">
        <f>'Plate Planning'!$M$17</f>
        <v>0</v>
      </c>
      <c r="BV65">
        <f>'Uncorrected Area Counts'!F67</f>
        <v>0</v>
      </c>
    </row>
    <row r="66" spans="1:74">
      <c r="A66" s="1">
        <v>65</v>
      </c>
      <c r="B66" s="1">
        <v>5</v>
      </c>
      <c r="C66" s="1">
        <v>6</v>
      </c>
      <c r="D66" s="1">
        <f>'Plate Planning'!$H$16</f>
        <v>0</v>
      </c>
      <c r="E66" s="1" t="str">
        <f>'Plate Planning'!$H$17</f>
        <v>LC-MS</v>
      </c>
      <c r="F66" s="1">
        <f>'Plate Planning'!$H$18</f>
        <v>500</v>
      </c>
      <c r="G66" s="1">
        <f>'Plate Planning'!$H$20</f>
        <v>25</v>
      </c>
      <c r="H66" s="1">
        <f>'Plate Planning'!$H$19</f>
        <v>24</v>
      </c>
      <c r="I66" s="1" t="b">
        <f>'Plate Planning'!$H$21</f>
        <v>1</v>
      </c>
      <c r="J66" s="1" t="str">
        <f>IF('Plate Planning'!$H$22=0, "NA",'Plate Planning'!$H$22)</f>
        <v>NA</v>
      </c>
      <c r="K66" s="1">
        <f>Reagents!$D$2</f>
        <v>0</v>
      </c>
      <c r="L66" s="1">
        <f>Reagents!$D$2</f>
        <v>0</v>
      </c>
      <c r="M66" s="1">
        <f>Reagents!$J$2</f>
        <v>0</v>
      </c>
      <c r="N66" s="1">
        <f>Reagents!$D$3</f>
        <v>0</v>
      </c>
      <c r="O66" s="1">
        <f>Reagents!$J$3</f>
        <v>0</v>
      </c>
      <c r="P66" s="1">
        <f>Reagents!$D$4</f>
        <v>0</v>
      </c>
      <c r="Q66" s="1">
        <f>Reagents!$J$4</f>
        <v>0</v>
      </c>
      <c r="R66" s="1">
        <f>Reagents!$D$5</f>
        <v>0</v>
      </c>
      <c r="S66" s="1">
        <f>Reagents!$J$5</f>
        <v>0</v>
      </c>
      <c r="T66" s="1">
        <f>Reagents!$D$6</f>
        <v>0</v>
      </c>
      <c r="U66" s="1">
        <f>Reagents!$J$6</f>
        <v>0</v>
      </c>
      <c r="V66" s="1">
        <f>Reagents!$D$7</f>
        <v>0</v>
      </c>
      <c r="W66" s="1">
        <f>Reagents!$J$7</f>
        <v>0</v>
      </c>
      <c r="X66" s="1">
        <f>Reagents!$D$8</f>
        <v>0</v>
      </c>
      <c r="Y66" s="1">
        <f>Reagents!$J$8</f>
        <v>0</v>
      </c>
      <c r="Z66" s="1">
        <f>Reagents!$D$9</f>
        <v>0</v>
      </c>
      <c r="AA66" s="1">
        <f>Reagents!$J$9</f>
        <v>0</v>
      </c>
      <c r="AB66" s="1">
        <f>Reagents!$D$10</f>
        <v>0</v>
      </c>
      <c r="AC66" s="1">
        <f>Reagents!$J$10</f>
        <v>0</v>
      </c>
      <c r="AD66" s="1">
        <f>Reagents!$D$11</f>
        <v>0</v>
      </c>
      <c r="AE66" s="1">
        <f>Reagents!$J$11</f>
        <v>0</v>
      </c>
      <c r="AF66" t="str">
        <f>Reagents!$C$16</f>
        <v>-</v>
      </c>
      <c r="AG66">
        <f>Reagents!$D$16</f>
        <v>0</v>
      </c>
      <c r="AH66">
        <f>Reagents!$J$16</f>
        <v>0</v>
      </c>
      <c r="AI66" t="str">
        <f>Reagents!$C$28</f>
        <v>-</v>
      </c>
      <c r="AJ66">
        <f>Reagents!$D$28</f>
        <v>0</v>
      </c>
      <c r="AK66">
        <f>Reagents!$J$28</f>
        <v>0</v>
      </c>
      <c r="AL66" t="str">
        <f>Reagents!$C$41</f>
        <v>-</v>
      </c>
      <c r="AM66">
        <f>Reagents!$D$41</f>
        <v>0</v>
      </c>
      <c r="AN66">
        <f>Reagents!$J$41</f>
        <v>0</v>
      </c>
      <c r="AO66" t="str">
        <f>Reagents!$C$49</f>
        <v>-</v>
      </c>
      <c r="AP66">
        <f>Reagents!$D$49</f>
        <v>0</v>
      </c>
      <c r="AQ66">
        <f>Reagents!$J$49</f>
        <v>0</v>
      </c>
      <c r="AR66">
        <f>'Plate Planning'!$K$18</f>
        <v>0</v>
      </c>
      <c r="AS66">
        <f>'Plate Planning'!$L$18</f>
        <v>0</v>
      </c>
      <c r="AT66">
        <f>'Uncorrected Area Counts'!G68</f>
        <v>0</v>
      </c>
      <c r="AU66" t="e">
        <f>Yields!E68</f>
        <v>#DIV/0!</v>
      </c>
      <c r="AV66">
        <f>'Plate Planning'!$K$19</f>
        <v>0</v>
      </c>
      <c r="AW66">
        <f>'Plate Planning'!$L$19</f>
        <v>0</v>
      </c>
      <c r="AX66">
        <f>'Uncorrected Area Counts'!H68</f>
        <v>0</v>
      </c>
      <c r="AY66" t="e">
        <f>Yields!F68</f>
        <v>#DIV/0!</v>
      </c>
      <c r="AZ66">
        <f>'Plate Planning'!$K$20</f>
        <v>0</v>
      </c>
      <c r="BA66">
        <f>'Plate Planning'!$L$20</f>
        <v>0</v>
      </c>
      <c r="BB66">
        <f>'Uncorrected Area Counts'!I68</f>
        <v>0</v>
      </c>
      <c r="BC66" t="e">
        <f>Yields!G68</f>
        <v>#DIV/0!</v>
      </c>
      <c r="BD66">
        <f>'Plate Planning'!$K$21</f>
        <v>0</v>
      </c>
      <c r="BE66">
        <f>'Plate Planning'!$L$21</f>
        <v>0</v>
      </c>
      <c r="BF66">
        <f>'Uncorrected Area Counts'!J68</f>
        <v>0</v>
      </c>
      <c r="BG66" t="e">
        <f>Yields!H68</f>
        <v>#DIV/0!</v>
      </c>
      <c r="BH66">
        <f>'Plate Planning'!$K$22</f>
        <v>0</v>
      </c>
      <c r="BI66">
        <f>'Plate Planning'!$L$22</f>
        <v>0</v>
      </c>
      <c r="BJ66">
        <f>'Uncorrected Area Counts'!K68</f>
        <v>0</v>
      </c>
      <c r="BK66" t="e">
        <f>Yields!I68</f>
        <v>#DIV/0!</v>
      </c>
      <c r="BL66">
        <f>'Plate Planning'!$K$23</f>
        <v>0</v>
      </c>
      <c r="BM66">
        <f>'Plate Planning'!$L$23</f>
        <v>0</v>
      </c>
      <c r="BN66">
        <f>'Uncorrected Area Counts'!L68</f>
        <v>0</v>
      </c>
      <c r="BO66" t="e">
        <f>Yields!J68</f>
        <v>#DIV/0!</v>
      </c>
      <c r="BP66">
        <f>'Plate Planning'!$K$24</f>
        <v>0</v>
      </c>
      <c r="BQ66">
        <f>'Plate Planning'!$L$24</f>
        <v>0</v>
      </c>
      <c r="BR66">
        <f>'Uncorrected Area Counts'!M68</f>
        <v>0</v>
      </c>
      <c r="BS66" t="e">
        <f>Yields!K68</f>
        <v>#DIV/0!</v>
      </c>
      <c r="BT66">
        <f>'Plate Planning'!$L$17</f>
        <v>0</v>
      </c>
      <c r="BU66">
        <f>'Plate Planning'!$M$17</f>
        <v>0</v>
      </c>
      <c r="BV66">
        <f>'Uncorrected Area Counts'!F68</f>
        <v>0</v>
      </c>
    </row>
    <row r="67" spans="1:74">
      <c r="A67" s="1">
        <v>66</v>
      </c>
      <c r="B67" s="1">
        <v>6</v>
      </c>
      <c r="C67" s="1">
        <v>6</v>
      </c>
      <c r="D67" s="1">
        <f>'Plate Planning'!$H$16</f>
        <v>0</v>
      </c>
      <c r="E67" s="1" t="str">
        <f>'Plate Planning'!$H$17</f>
        <v>LC-MS</v>
      </c>
      <c r="F67" s="1">
        <f>'Plate Planning'!$H$18</f>
        <v>500</v>
      </c>
      <c r="G67" s="1">
        <f>'Plate Planning'!$H$20</f>
        <v>25</v>
      </c>
      <c r="H67" s="1">
        <f>'Plate Planning'!$H$19</f>
        <v>24</v>
      </c>
      <c r="I67" s="1" t="b">
        <f>'Plate Planning'!$H$21</f>
        <v>1</v>
      </c>
      <c r="J67" s="1" t="str">
        <f>IF('Plate Planning'!$H$22=0, "NA",'Plate Planning'!$H$22)</f>
        <v>NA</v>
      </c>
      <c r="K67" s="1">
        <f>Reagents!$D$2</f>
        <v>0</v>
      </c>
      <c r="L67" s="1">
        <f>Reagents!$D$2</f>
        <v>0</v>
      </c>
      <c r="M67" s="1">
        <f>Reagents!$J$2</f>
        <v>0</v>
      </c>
      <c r="N67" s="1">
        <f>Reagents!$D$3</f>
        <v>0</v>
      </c>
      <c r="O67" s="1">
        <f>Reagents!$J$3</f>
        <v>0</v>
      </c>
      <c r="P67" s="1">
        <f>Reagents!$D$4</f>
        <v>0</v>
      </c>
      <c r="Q67" s="1">
        <f>Reagents!$J$4</f>
        <v>0</v>
      </c>
      <c r="R67" s="1">
        <f>Reagents!$D$5</f>
        <v>0</v>
      </c>
      <c r="S67" s="1">
        <f>Reagents!$J$5</f>
        <v>0</v>
      </c>
      <c r="T67" s="1">
        <f>Reagents!$D$6</f>
        <v>0</v>
      </c>
      <c r="U67" s="1">
        <f>Reagents!$J$6</f>
        <v>0</v>
      </c>
      <c r="V67" s="1">
        <f>Reagents!$D$7</f>
        <v>0</v>
      </c>
      <c r="W67" s="1">
        <f>Reagents!$J$7</f>
        <v>0</v>
      </c>
      <c r="X67" s="1">
        <f>Reagents!$D$8</f>
        <v>0</v>
      </c>
      <c r="Y67" s="1">
        <f>Reagents!$J$8</f>
        <v>0</v>
      </c>
      <c r="Z67" s="1">
        <f>Reagents!$D$9</f>
        <v>0</v>
      </c>
      <c r="AA67" s="1">
        <f>Reagents!$J$9</f>
        <v>0</v>
      </c>
      <c r="AB67" s="1">
        <f>Reagents!$D$10</f>
        <v>0</v>
      </c>
      <c r="AC67" s="1">
        <f>Reagents!$J$10</f>
        <v>0</v>
      </c>
      <c r="AD67" s="1">
        <f>Reagents!$D$11</f>
        <v>0</v>
      </c>
      <c r="AE67" s="1">
        <f>Reagents!$J$11</f>
        <v>0</v>
      </c>
      <c r="AF67" t="str">
        <f>Reagents!$C$17</f>
        <v>-</v>
      </c>
      <c r="AG67">
        <f>Reagents!$D$17</f>
        <v>0</v>
      </c>
      <c r="AH67">
        <f>Reagents!$J$17</f>
        <v>0</v>
      </c>
      <c r="AI67" t="str">
        <f>Reagents!$C$29</f>
        <v>-</v>
      </c>
      <c r="AJ67">
        <f>Reagents!$D$29</f>
        <v>0</v>
      </c>
      <c r="AK67">
        <f>Reagents!$J$29</f>
        <v>0</v>
      </c>
      <c r="AL67" t="str">
        <f>Reagents!$C$41</f>
        <v>-</v>
      </c>
      <c r="AM67">
        <f>Reagents!$D$41</f>
        <v>0</v>
      </c>
      <c r="AN67">
        <f>Reagents!$J$41</f>
        <v>0</v>
      </c>
      <c r="AO67" t="str">
        <f>Reagents!$C$49</f>
        <v>-</v>
      </c>
      <c r="AP67">
        <f>Reagents!$D$49</f>
        <v>0</v>
      </c>
      <c r="AQ67">
        <f>Reagents!$J$49</f>
        <v>0</v>
      </c>
      <c r="AR67">
        <f>'Plate Planning'!$K$18</f>
        <v>0</v>
      </c>
      <c r="AS67">
        <f>'Plate Planning'!$L$18</f>
        <v>0</v>
      </c>
      <c r="AT67">
        <f>'Uncorrected Area Counts'!G69</f>
        <v>0</v>
      </c>
      <c r="AU67" t="e">
        <f>Yields!E69</f>
        <v>#DIV/0!</v>
      </c>
      <c r="AV67">
        <f>'Plate Planning'!$K$19</f>
        <v>0</v>
      </c>
      <c r="AW67">
        <f>'Plate Planning'!$L$19</f>
        <v>0</v>
      </c>
      <c r="AX67">
        <f>'Uncorrected Area Counts'!H69</f>
        <v>0</v>
      </c>
      <c r="AY67" t="e">
        <f>Yields!F69</f>
        <v>#DIV/0!</v>
      </c>
      <c r="AZ67">
        <f>'Plate Planning'!$K$20</f>
        <v>0</v>
      </c>
      <c r="BA67">
        <f>'Plate Planning'!$L$20</f>
        <v>0</v>
      </c>
      <c r="BB67">
        <f>'Uncorrected Area Counts'!I69</f>
        <v>0</v>
      </c>
      <c r="BC67" t="e">
        <f>Yields!G69</f>
        <v>#DIV/0!</v>
      </c>
      <c r="BD67">
        <f>'Plate Planning'!$K$21</f>
        <v>0</v>
      </c>
      <c r="BE67">
        <f>'Plate Planning'!$L$21</f>
        <v>0</v>
      </c>
      <c r="BF67">
        <f>'Uncorrected Area Counts'!J69</f>
        <v>0</v>
      </c>
      <c r="BG67" t="e">
        <f>Yields!H69</f>
        <v>#DIV/0!</v>
      </c>
      <c r="BH67">
        <f>'Plate Planning'!$K$22</f>
        <v>0</v>
      </c>
      <c r="BI67">
        <f>'Plate Planning'!$L$22</f>
        <v>0</v>
      </c>
      <c r="BJ67">
        <f>'Uncorrected Area Counts'!K69</f>
        <v>0</v>
      </c>
      <c r="BK67" t="e">
        <f>Yields!I69</f>
        <v>#DIV/0!</v>
      </c>
      <c r="BL67">
        <f>'Plate Planning'!$K$23</f>
        <v>0</v>
      </c>
      <c r="BM67">
        <f>'Plate Planning'!$L$23</f>
        <v>0</v>
      </c>
      <c r="BN67">
        <f>'Uncorrected Area Counts'!L69</f>
        <v>0</v>
      </c>
      <c r="BO67" t="e">
        <f>Yields!J69</f>
        <v>#DIV/0!</v>
      </c>
      <c r="BP67">
        <f>'Plate Planning'!$K$24</f>
        <v>0</v>
      </c>
      <c r="BQ67">
        <f>'Plate Planning'!$L$24</f>
        <v>0</v>
      </c>
      <c r="BR67">
        <f>'Uncorrected Area Counts'!M69</f>
        <v>0</v>
      </c>
      <c r="BS67" t="e">
        <f>Yields!K69</f>
        <v>#DIV/0!</v>
      </c>
      <c r="BT67">
        <f>'Plate Planning'!$L$17</f>
        <v>0</v>
      </c>
      <c r="BU67">
        <f>'Plate Planning'!$M$17</f>
        <v>0</v>
      </c>
      <c r="BV67">
        <f>'Uncorrected Area Counts'!F69</f>
        <v>0</v>
      </c>
    </row>
    <row r="68" spans="1:74">
      <c r="A68" s="1">
        <v>67</v>
      </c>
      <c r="B68" s="1">
        <v>7</v>
      </c>
      <c r="C68" s="1">
        <v>6</v>
      </c>
      <c r="D68" s="1">
        <f>'Plate Planning'!$H$16</f>
        <v>0</v>
      </c>
      <c r="E68" s="1" t="str">
        <f>'Plate Planning'!$H$17</f>
        <v>LC-MS</v>
      </c>
      <c r="F68" s="1">
        <f>'Plate Planning'!$H$18</f>
        <v>500</v>
      </c>
      <c r="G68" s="1">
        <f>'Plate Planning'!$H$20</f>
        <v>25</v>
      </c>
      <c r="H68" s="1">
        <f>'Plate Planning'!$H$19</f>
        <v>24</v>
      </c>
      <c r="I68" s="1" t="b">
        <f>'Plate Planning'!$H$21</f>
        <v>1</v>
      </c>
      <c r="J68" s="1" t="str">
        <f>IF('Plate Planning'!$H$22=0, "NA",'Plate Planning'!$H$22)</f>
        <v>NA</v>
      </c>
      <c r="K68" s="1">
        <f>Reagents!$D$2</f>
        <v>0</v>
      </c>
      <c r="L68" s="1">
        <f>Reagents!$D$2</f>
        <v>0</v>
      </c>
      <c r="M68" s="1">
        <f>Reagents!$J$2</f>
        <v>0</v>
      </c>
      <c r="N68" s="1">
        <f>Reagents!$D$3</f>
        <v>0</v>
      </c>
      <c r="O68" s="1">
        <f>Reagents!$J$3</f>
        <v>0</v>
      </c>
      <c r="P68" s="1">
        <f>Reagents!$D$4</f>
        <v>0</v>
      </c>
      <c r="Q68" s="1">
        <f>Reagents!$J$4</f>
        <v>0</v>
      </c>
      <c r="R68" s="1">
        <f>Reagents!$D$5</f>
        <v>0</v>
      </c>
      <c r="S68" s="1">
        <f>Reagents!$J$5</f>
        <v>0</v>
      </c>
      <c r="T68" s="1">
        <f>Reagents!$D$6</f>
        <v>0</v>
      </c>
      <c r="U68" s="1">
        <f>Reagents!$J$6</f>
        <v>0</v>
      </c>
      <c r="V68" s="1">
        <f>Reagents!$D$7</f>
        <v>0</v>
      </c>
      <c r="W68" s="1">
        <f>Reagents!$J$7</f>
        <v>0</v>
      </c>
      <c r="X68" s="1">
        <f>Reagents!$D$8</f>
        <v>0</v>
      </c>
      <c r="Y68" s="1">
        <f>Reagents!$J$8</f>
        <v>0</v>
      </c>
      <c r="Z68" s="1">
        <f>Reagents!$D$9</f>
        <v>0</v>
      </c>
      <c r="AA68" s="1">
        <f>Reagents!$J$9</f>
        <v>0</v>
      </c>
      <c r="AB68" s="1">
        <f>Reagents!$D$10</f>
        <v>0</v>
      </c>
      <c r="AC68" s="1">
        <f>Reagents!$J$10</f>
        <v>0</v>
      </c>
      <c r="AD68" s="1">
        <f>Reagents!$D$11</f>
        <v>0</v>
      </c>
      <c r="AE68" s="1">
        <f>Reagents!$J$11</f>
        <v>0</v>
      </c>
      <c r="AF68" t="str">
        <f>Reagents!$C$18</f>
        <v>-</v>
      </c>
      <c r="AG68">
        <f>Reagents!$D$18</f>
        <v>0</v>
      </c>
      <c r="AH68">
        <f>Reagents!$J$18</f>
        <v>0</v>
      </c>
      <c r="AI68" t="str">
        <f>Reagents!$C$30</f>
        <v>-</v>
      </c>
      <c r="AJ68">
        <f>Reagents!$D$30</f>
        <v>0</v>
      </c>
      <c r="AK68">
        <f>Reagents!$J$30</f>
        <v>0</v>
      </c>
      <c r="AL68" t="str">
        <f>Reagents!$C$41</f>
        <v>-</v>
      </c>
      <c r="AM68">
        <f>Reagents!$D$41</f>
        <v>0</v>
      </c>
      <c r="AN68">
        <f>Reagents!$J$41</f>
        <v>0</v>
      </c>
      <c r="AO68" t="str">
        <f>Reagents!$C$49</f>
        <v>-</v>
      </c>
      <c r="AP68">
        <f>Reagents!$D$49</f>
        <v>0</v>
      </c>
      <c r="AQ68">
        <f>Reagents!$J$49</f>
        <v>0</v>
      </c>
      <c r="AR68">
        <f>'Plate Planning'!$K$18</f>
        <v>0</v>
      </c>
      <c r="AS68">
        <f>'Plate Planning'!$L$18</f>
        <v>0</v>
      </c>
      <c r="AT68">
        <f>'Uncorrected Area Counts'!G70</f>
        <v>0</v>
      </c>
      <c r="AU68" t="e">
        <f>Yields!E70</f>
        <v>#DIV/0!</v>
      </c>
      <c r="AV68">
        <f>'Plate Planning'!$K$19</f>
        <v>0</v>
      </c>
      <c r="AW68">
        <f>'Plate Planning'!$L$19</f>
        <v>0</v>
      </c>
      <c r="AX68">
        <f>'Uncorrected Area Counts'!H70</f>
        <v>0</v>
      </c>
      <c r="AY68" t="e">
        <f>Yields!F70</f>
        <v>#DIV/0!</v>
      </c>
      <c r="AZ68">
        <f>'Plate Planning'!$K$20</f>
        <v>0</v>
      </c>
      <c r="BA68">
        <f>'Plate Planning'!$L$20</f>
        <v>0</v>
      </c>
      <c r="BB68">
        <f>'Uncorrected Area Counts'!I70</f>
        <v>0</v>
      </c>
      <c r="BC68" t="e">
        <f>Yields!G70</f>
        <v>#DIV/0!</v>
      </c>
      <c r="BD68">
        <f>'Plate Planning'!$K$21</f>
        <v>0</v>
      </c>
      <c r="BE68">
        <f>'Plate Planning'!$L$21</f>
        <v>0</v>
      </c>
      <c r="BF68">
        <f>'Uncorrected Area Counts'!J70</f>
        <v>0</v>
      </c>
      <c r="BG68" t="e">
        <f>Yields!H70</f>
        <v>#DIV/0!</v>
      </c>
      <c r="BH68">
        <f>'Plate Planning'!$K$22</f>
        <v>0</v>
      </c>
      <c r="BI68">
        <f>'Plate Planning'!$L$22</f>
        <v>0</v>
      </c>
      <c r="BJ68">
        <f>'Uncorrected Area Counts'!K70</f>
        <v>0</v>
      </c>
      <c r="BK68" t="e">
        <f>Yields!I70</f>
        <v>#DIV/0!</v>
      </c>
      <c r="BL68">
        <f>'Plate Planning'!$K$23</f>
        <v>0</v>
      </c>
      <c r="BM68">
        <f>'Plate Planning'!$L$23</f>
        <v>0</v>
      </c>
      <c r="BN68">
        <f>'Uncorrected Area Counts'!L70</f>
        <v>0</v>
      </c>
      <c r="BO68" t="e">
        <f>Yields!J70</f>
        <v>#DIV/0!</v>
      </c>
      <c r="BP68">
        <f>'Plate Planning'!$K$24</f>
        <v>0</v>
      </c>
      <c r="BQ68">
        <f>'Plate Planning'!$L$24</f>
        <v>0</v>
      </c>
      <c r="BR68">
        <f>'Uncorrected Area Counts'!M70</f>
        <v>0</v>
      </c>
      <c r="BS68" t="e">
        <f>Yields!K70</f>
        <v>#DIV/0!</v>
      </c>
      <c r="BT68">
        <f>'Plate Planning'!$L$17</f>
        <v>0</v>
      </c>
      <c r="BU68">
        <f>'Plate Planning'!$M$17</f>
        <v>0</v>
      </c>
      <c r="BV68">
        <f>'Uncorrected Area Counts'!F70</f>
        <v>0</v>
      </c>
    </row>
    <row r="69" spans="1:74">
      <c r="A69" s="1">
        <v>68</v>
      </c>
      <c r="B69" s="1">
        <v>8</v>
      </c>
      <c r="C69" s="1">
        <v>6</v>
      </c>
      <c r="D69" s="1">
        <f>'Plate Planning'!$H$16</f>
        <v>0</v>
      </c>
      <c r="E69" s="1" t="str">
        <f>'Plate Planning'!$H$17</f>
        <v>LC-MS</v>
      </c>
      <c r="F69" s="1">
        <f>'Plate Planning'!$H$18</f>
        <v>500</v>
      </c>
      <c r="G69" s="1">
        <f>'Plate Planning'!$H$20</f>
        <v>25</v>
      </c>
      <c r="H69" s="1">
        <f>'Plate Planning'!$H$19</f>
        <v>24</v>
      </c>
      <c r="I69" s="1" t="b">
        <f>'Plate Planning'!$H$21</f>
        <v>1</v>
      </c>
      <c r="J69" s="1" t="str">
        <f>IF('Plate Planning'!$H$22=0, "NA",'Plate Planning'!$H$22)</f>
        <v>NA</v>
      </c>
      <c r="K69" s="1">
        <f>Reagents!$D$2</f>
        <v>0</v>
      </c>
      <c r="L69" s="1">
        <f>Reagents!$D$2</f>
        <v>0</v>
      </c>
      <c r="M69" s="1">
        <f>Reagents!$J$2</f>
        <v>0</v>
      </c>
      <c r="N69" s="1">
        <f>Reagents!$D$3</f>
        <v>0</v>
      </c>
      <c r="O69" s="1">
        <f>Reagents!$J$3</f>
        <v>0</v>
      </c>
      <c r="P69" s="1">
        <f>Reagents!$D$4</f>
        <v>0</v>
      </c>
      <c r="Q69" s="1">
        <f>Reagents!$J$4</f>
        <v>0</v>
      </c>
      <c r="R69" s="1">
        <f>Reagents!$D$5</f>
        <v>0</v>
      </c>
      <c r="S69" s="1">
        <f>Reagents!$J$5</f>
        <v>0</v>
      </c>
      <c r="T69" s="1">
        <f>Reagents!$D$6</f>
        <v>0</v>
      </c>
      <c r="U69" s="1">
        <f>Reagents!$J$6</f>
        <v>0</v>
      </c>
      <c r="V69" s="1">
        <f>Reagents!$D$7</f>
        <v>0</v>
      </c>
      <c r="W69" s="1">
        <f>Reagents!$J$7</f>
        <v>0</v>
      </c>
      <c r="X69" s="1">
        <f>Reagents!$D$8</f>
        <v>0</v>
      </c>
      <c r="Y69" s="1">
        <f>Reagents!$J$8</f>
        <v>0</v>
      </c>
      <c r="Z69" s="1">
        <f>Reagents!$D$9</f>
        <v>0</v>
      </c>
      <c r="AA69" s="1">
        <f>Reagents!$J$9</f>
        <v>0</v>
      </c>
      <c r="AB69" s="1">
        <f>Reagents!$D$10</f>
        <v>0</v>
      </c>
      <c r="AC69" s="1">
        <f>Reagents!$J$10</f>
        <v>0</v>
      </c>
      <c r="AD69" s="1">
        <f>Reagents!$D$11</f>
        <v>0</v>
      </c>
      <c r="AE69" s="1">
        <f>Reagents!$J$11</f>
        <v>0</v>
      </c>
      <c r="AF69" t="str">
        <f>Reagents!$C$19</f>
        <v>-</v>
      </c>
      <c r="AG69">
        <f>Reagents!$D$19</f>
        <v>0</v>
      </c>
      <c r="AH69">
        <f>Reagents!$J$19</f>
        <v>0</v>
      </c>
      <c r="AI69" t="str">
        <f>Reagents!$C$31</f>
        <v>-</v>
      </c>
      <c r="AJ69">
        <f>Reagents!$D$31</f>
        <v>0</v>
      </c>
      <c r="AK69">
        <f>Reagents!$J$31</f>
        <v>0</v>
      </c>
      <c r="AL69" t="str">
        <f>Reagents!$C$41</f>
        <v>-</v>
      </c>
      <c r="AM69">
        <f>Reagents!$D$41</f>
        <v>0</v>
      </c>
      <c r="AN69">
        <f>Reagents!$J$41</f>
        <v>0</v>
      </c>
      <c r="AO69" t="str">
        <f>Reagents!$C$49</f>
        <v>-</v>
      </c>
      <c r="AP69">
        <f>Reagents!$D$49</f>
        <v>0</v>
      </c>
      <c r="AQ69">
        <f>Reagents!$J$49</f>
        <v>0</v>
      </c>
      <c r="AR69">
        <f>'Plate Planning'!$K$18</f>
        <v>0</v>
      </c>
      <c r="AS69">
        <f>'Plate Planning'!$L$18</f>
        <v>0</v>
      </c>
      <c r="AT69">
        <f>'Uncorrected Area Counts'!G71</f>
        <v>0</v>
      </c>
      <c r="AU69" t="e">
        <f>Yields!E71</f>
        <v>#DIV/0!</v>
      </c>
      <c r="AV69">
        <f>'Plate Planning'!$K$19</f>
        <v>0</v>
      </c>
      <c r="AW69">
        <f>'Plate Planning'!$L$19</f>
        <v>0</v>
      </c>
      <c r="AX69">
        <f>'Uncorrected Area Counts'!H71</f>
        <v>0</v>
      </c>
      <c r="AY69" t="e">
        <f>Yields!F71</f>
        <v>#DIV/0!</v>
      </c>
      <c r="AZ69">
        <f>'Plate Planning'!$K$20</f>
        <v>0</v>
      </c>
      <c r="BA69">
        <f>'Plate Planning'!$L$20</f>
        <v>0</v>
      </c>
      <c r="BB69">
        <f>'Uncorrected Area Counts'!I71</f>
        <v>0</v>
      </c>
      <c r="BC69" t="e">
        <f>Yields!G71</f>
        <v>#DIV/0!</v>
      </c>
      <c r="BD69">
        <f>'Plate Planning'!$K$21</f>
        <v>0</v>
      </c>
      <c r="BE69">
        <f>'Plate Planning'!$L$21</f>
        <v>0</v>
      </c>
      <c r="BF69">
        <f>'Uncorrected Area Counts'!J71</f>
        <v>0</v>
      </c>
      <c r="BG69" t="e">
        <f>Yields!H71</f>
        <v>#DIV/0!</v>
      </c>
      <c r="BH69">
        <f>'Plate Planning'!$K$22</f>
        <v>0</v>
      </c>
      <c r="BI69">
        <f>'Plate Planning'!$L$22</f>
        <v>0</v>
      </c>
      <c r="BJ69">
        <f>'Uncorrected Area Counts'!K71</f>
        <v>0</v>
      </c>
      <c r="BK69" t="e">
        <f>Yields!I71</f>
        <v>#DIV/0!</v>
      </c>
      <c r="BL69">
        <f>'Plate Planning'!$K$23</f>
        <v>0</v>
      </c>
      <c r="BM69">
        <f>'Plate Planning'!$L$23</f>
        <v>0</v>
      </c>
      <c r="BN69">
        <f>'Uncorrected Area Counts'!L71</f>
        <v>0</v>
      </c>
      <c r="BO69" t="e">
        <f>Yields!J71</f>
        <v>#DIV/0!</v>
      </c>
      <c r="BP69">
        <f>'Plate Planning'!$K$24</f>
        <v>0</v>
      </c>
      <c r="BQ69">
        <f>'Plate Planning'!$L$24</f>
        <v>0</v>
      </c>
      <c r="BR69">
        <f>'Uncorrected Area Counts'!M71</f>
        <v>0</v>
      </c>
      <c r="BS69" t="e">
        <f>Yields!K71</f>
        <v>#DIV/0!</v>
      </c>
      <c r="BT69">
        <f>'Plate Planning'!$L$17</f>
        <v>0</v>
      </c>
      <c r="BU69">
        <f>'Plate Planning'!$M$17</f>
        <v>0</v>
      </c>
      <c r="BV69">
        <f>'Uncorrected Area Counts'!F71</f>
        <v>0</v>
      </c>
    </row>
    <row r="70" spans="1:74">
      <c r="A70" s="1">
        <v>69</v>
      </c>
      <c r="B70" s="1">
        <v>9</v>
      </c>
      <c r="C70" s="1">
        <v>6</v>
      </c>
      <c r="D70" s="1">
        <f>'Plate Planning'!$H$16</f>
        <v>0</v>
      </c>
      <c r="E70" s="1" t="str">
        <f>'Plate Planning'!$H$17</f>
        <v>LC-MS</v>
      </c>
      <c r="F70" s="1">
        <f>'Plate Planning'!$H$18</f>
        <v>500</v>
      </c>
      <c r="G70" s="1">
        <f>'Plate Planning'!$H$20</f>
        <v>25</v>
      </c>
      <c r="H70" s="1">
        <f>'Plate Planning'!$H$19</f>
        <v>24</v>
      </c>
      <c r="I70" s="1" t="b">
        <f>'Plate Planning'!$H$21</f>
        <v>1</v>
      </c>
      <c r="J70" s="1" t="str">
        <f>IF('Plate Planning'!$H$22=0, "NA",'Plate Planning'!$H$22)</f>
        <v>NA</v>
      </c>
      <c r="K70" s="1">
        <f>Reagents!$D$2</f>
        <v>0</v>
      </c>
      <c r="L70" s="1">
        <f>Reagents!$D$2</f>
        <v>0</v>
      </c>
      <c r="M70" s="1">
        <f>Reagents!$J$2</f>
        <v>0</v>
      </c>
      <c r="N70" s="1">
        <f>Reagents!$D$3</f>
        <v>0</v>
      </c>
      <c r="O70" s="1">
        <f>Reagents!$J$3</f>
        <v>0</v>
      </c>
      <c r="P70" s="1">
        <f>Reagents!$D$4</f>
        <v>0</v>
      </c>
      <c r="Q70" s="1">
        <f>Reagents!$J$4</f>
        <v>0</v>
      </c>
      <c r="R70" s="1">
        <f>Reagents!$D$5</f>
        <v>0</v>
      </c>
      <c r="S70" s="1">
        <f>Reagents!$J$5</f>
        <v>0</v>
      </c>
      <c r="T70" s="1">
        <f>Reagents!$D$6</f>
        <v>0</v>
      </c>
      <c r="U70" s="1">
        <f>Reagents!$J$6</f>
        <v>0</v>
      </c>
      <c r="V70" s="1">
        <f>Reagents!$D$7</f>
        <v>0</v>
      </c>
      <c r="W70" s="1">
        <f>Reagents!$J$7</f>
        <v>0</v>
      </c>
      <c r="X70" s="1">
        <f>Reagents!$D$8</f>
        <v>0</v>
      </c>
      <c r="Y70" s="1">
        <f>Reagents!$J$8</f>
        <v>0</v>
      </c>
      <c r="Z70" s="1">
        <f>Reagents!$D$9</f>
        <v>0</v>
      </c>
      <c r="AA70" s="1">
        <f>Reagents!$J$9</f>
        <v>0</v>
      </c>
      <c r="AB70" s="1">
        <f>Reagents!$D$10</f>
        <v>0</v>
      </c>
      <c r="AC70" s="1">
        <f>Reagents!$J$10</f>
        <v>0</v>
      </c>
      <c r="AD70" s="1">
        <f>Reagents!$D$11</f>
        <v>0</v>
      </c>
      <c r="AE70" s="1">
        <f>Reagents!$J$11</f>
        <v>0</v>
      </c>
      <c r="AF70" t="str">
        <f>Reagents!$C$20</f>
        <v>-</v>
      </c>
      <c r="AG70">
        <f>Reagents!$D$20</f>
        <v>0</v>
      </c>
      <c r="AH70">
        <f>Reagents!$J$20</f>
        <v>0</v>
      </c>
      <c r="AI70" t="str">
        <f>Reagents!$C$32</f>
        <v>-</v>
      </c>
      <c r="AJ70">
        <f>Reagents!$D$32</f>
        <v>0</v>
      </c>
      <c r="AK70">
        <f>Reagents!$J$32</f>
        <v>0</v>
      </c>
      <c r="AL70" t="str">
        <f>Reagents!$C$41</f>
        <v>-</v>
      </c>
      <c r="AM70">
        <f>Reagents!$D$41</f>
        <v>0</v>
      </c>
      <c r="AN70">
        <f>Reagents!$J$41</f>
        <v>0</v>
      </c>
      <c r="AO70" t="str">
        <f>Reagents!$C$49</f>
        <v>-</v>
      </c>
      <c r="AP70">
        <f>Reagents!$D$49</f>
        <v>0</v>
      </c>
      <c r="AQ70">
        <f>Reagents!$J$49</f>
        <v>0</v>
      </c>
      <c r="AR70">
        <f>'Plate Planning'!$K$18</f>
        <v>0</v>
      </c>
      <c r="AS70">
        <f>'Plate Planning'!$L$18</f>
        <v>0</v>
      </c>
      <c r="AT70">
        <f>'Uncorrected Area Counts'!G72</f>
        <v>0</v>
      </c>
      <c r="AU70" t="e">
        <f>Yields!E72</f>
        <v>#DIV/0!</v>
      </c>
      <c r="AV70">
        <f>'Plate Planning'!$K$19</f>
        <v>0</v>
      </c>
      <c r="AW70">
        <f>'Plate Planning'!$L$19</f>
        <v>0</v>
      </c>
      <c r="AX70">
        <f>'Uncorrected Area Counts'!H72</f>
        <v>0</v>
      </c>
      <c r="AY70" t="e">
        <f>Yields!F72</f>
        <v>#DIV/0!</v>
      </c>
      <c r="AZ70">
        <f>'Plate Planning'!$K$20</f>
        <v>0</v>
      </c>
      <c r="BA70">
        <f>'Plate Planning'!$L$20</f>
        <v>0</v>
      </c>
      <c r="BB70">
        <f>'Uncorrected Area Counts'!I72</f>
        <v>0</v>
      </c>
      <c r="BC70" t="e">
        <f>Yields!G72</f>
        <v>#DIV/0!</v>
      </c>
      <c r="BD70">
        <f>'Plate Planning'!$K$21</f>
        <v>0</v>
      </c>
      <c r="BE70">
        <f>'Plate Planning'!$L$21</f>
        <v>0</v>
      </c>
      <c r="BF70">
        <f>'Uncorrected Area Counts'!J72</f>
        <v>0</v>
      </c>
      <c r="BG70" t="e">
        <f>Yields!H72</f>
        <v>#DIV/0!</v>
      </c>
      <c r="BH70">
        <f>'Plate Planning'!$K$22</f>
        <v>0</v>
      </c>
      <c r="BI70">
        <f>'Plate Planning'!$L$22</f>
        <v>0</v>
      </c>
      <c r="BJ70">
        <f>'Uncorrected Area Counts'!K72</f>
        <v>0</v>
      </c>
      <c r="BK70" t="e">
        <f>Yields!I72</f>
        <v>#DIV/0!</v>
      </c>
      <c r="BL70">
        <f>'Plate Planning'!$K$23</f>
        <v>0</v>
      </c>
      <c r="BM70">
        <f>'Plate Planning'!$L$23</f>
        <v>0</v>
      </c>
      <c r="BN70">
        <f>'Uncorrected Area Counts'!L72</f>
        <v>0</v>
      </c>
      <c r="BO70" t="e">
        <f>Yields!J72</f>
        <v>#DIV/0!</v>
      </c>
      <c r="BP70">
        <f>'Plate Planning'!$K$24</f>
        <v>0</v>
      </c>
      <c r="BQ70">
        <f>'Plate Planning'!$L$24</f>
        <v>0</v>
      </c>
      <c r="BR70">
        <f>'Uncorrected Area Counts'!M72</f>
        <v>0</v>
      </c>
      <c r="BS70" t="e">
        <f>Yields!K72</f>
        <v>#DIV/0!</v>
      </c>
      <c r="BT70">
        <f>'Plate Planning'!$L$17</f>
        <v>0</v>
      </c>
      <c r="BU70">
        <f>'Plate Planning'!$M$17</f>
        <v>0</v>
      </c>
      <c r="BV70">
        <f>'Uncorrected Area Counts'!F72</f>
        <v>0</v>
      </c>
    </row>
    <row r="71" spans="1:74">
      <c r="A71" s="1">
        <v>70</v>
      </c>
      <c r="B71" s="1">
        <v>10</v>
      </c>
      <c r="C71" s="1">
        <v>6</v>
      </c>
      <c r="D71" s="1">
        <f>'Plate Planning'!$H$16</f>
        <v>0</v>
      </c>
      <c r="E71" s="1" t="str">
        <f>'Plate Planning'!$H$17</f>
        <v>LC-MS</v>
      </c>
      <c r="F71" s="1">
        <f>'Plate Planning'!$H$18</f>
        <v>500</v>
      </c>
      <c r="G71" s="1">
        <f>'Plate Planning'!$H$20</f>
        <v>25</v>
      </c>
      <c r="H71" s="1">
        <f>'Plate Planning'!$H$19</f>
        <v>24</v>
      </c>
      <c r="I71" s="1" t="b">
        <f>'Plate Planning'!$H$21</f>
        <v>1</v>
      </c>
      <c r="J71" s="1" t="str">
        <f>IF('Plate Planning'!$H$22=0, "NA",'Plate Planning'!$H$22)</f>
        <v>NA</v>
      </c>
      <c r="K71" s="1">
        <f>Reagents!$D$2</f>
        <v>0</v>
      </c>
      <c r="L71" s="1">
        <f>Reagents!$D$2</f>
        <v>0</v>
      </c>
      <c r="M71" s="1">
        <f>Reagents!$J$2</f>
        <v>0</v>
      </c>
      <c r="N71" s="1">
        <f>Reagents!$D$3</f>
        <v>0</v>
      </c>
      <c r="O71" s="1">
        <f>Reagents!$J$3</f>
        <v>0</v>
      </c>
      <c r="P71" s="1">
        <f>Reagents!$D$4</f>
        <v>0</v>
      </c>
      <c r="Q71" s="1">
        <f>Reagents!$J$4</f>
        <v>0</v>
      </c>
      <c r="R71" s="1">
        <f>Reagents!$D$5</f>
        <v>0</v>
      </c>
      <c r="S71" s="1">
        <f>Reagents!$J$5</f>
        <v>0</v>
      </c>
      <c r="T71" s="1">
        <f>Reagents!$D$6</f>
        <v>0</v>
      </c>
      <c r="U71" s="1">
        <f>Reagents!$J$6</f>
        <v>0</v>
      </c>
      <c r="V71" s="1">
        <f>Reagents!$D$7</f>
        <v>0</v>
      </c>
      <c r="W71" s="1">
        <f>Reagents!$J$7</f>
        <v>0</v>
      </c>
      <c r="X71" s="1">
        <f>Reagents!$D$8</f>
        <v>0</v>
      </c>
      <c r="Y71" s="1">
        <f>Reagents!$J$8</f>
        <v>0</v>
      </c>
      <c r="Z71" s="1">
        <f>Reagents!$D$9</f>
        <v>0</v>
      </c>
      <c r="AA71" s="1">
        <f>Reagents!$J$9</f>
        <v>0</v>
      </c>
      <c r="AB71" s="1">
        <f>Reagents!$D$10</f>
        <v>0</v>
      </c>
      <c r="AC71" s="1">
        <f>Reagents!$J$10</f>
        <v>0</v>
      </c>
      <c r="AD71" s="1">
        <f>Reagents!$D$11</f>
        <v>0</v>
      </c>
      <c r="AE71" s="1">
        <f>Reagents!$J$11</f>
        <v>0</v>
      </c>
      <c r="AF71" t="str">
        <f>Reagents!$C$21</f>
        <v>-</v>
      </c>
      <c r="AG71">
        <f>Reagents!$D$21</f>
        <v>0</v>
      </c>
      <c r="AH71">
        <f>Reagents!$J$21</f>
        <v>0</v>
      </c>
      <c r="AI71" t="str">
        <f>Reagents!$C$33</f>
        <v>-</v>
      </c>
      <c r="AJ71">
        <f>Reagents!$D$33</f>
        <v>0</v>
      </c>
      <c r="AK71">
        <f>Reagents!$J$33</f>
        <v>0</v>
      </c>
      <c r="AL71" t="str">
        <f>Reagents!$C$41</f>
        <v>-</v>
      </c>
      <c r="AM71">
        <f>Reagents!$D$41</f>
        <v>0</v>
      </c>
      <c r="AN71">
        <f>Reagents!$J$41</f>
        <v>0</v>
      </c>
      <c r="AO71" t="str">
        <f>Reagents!$C$49</f>
        <v>-</v>
      </c>
      <c r="AP71">
        <f>Reagents!$D$49</f>
        <v>0</v>
      </c>
      <c r="AQ71">
        <f>Reagents!$J$49</f>
        <v>0</v>
      </c>
      <c r="AR71">
        <f>'Plate Planning'!$K$18</f>
        <v>0</v>
      </c>
      <c r="AS71">
        <f>'Plate Planning'!$L$18</f>
        <v>0</v>
      </c>
      <c r="AT71">
        <f>'Uncorrected Area Counts'!G73</f>
        <v>0</v>
      </c>
      <c r="AU71" t="e">
        <f>Yields!E73</f>
        <v>#DIV/0!</v>
      </c>
      <c r="AV71">
        <f>'Plate Planning'!$K$19</f>
        <v>0</v>
      </c>
      <c r="AW71">
        <f>'Plate Planning'!$L$19</f>
        <v>0</v>
      </c>
      <c r="AX71">
        <f>'Uncorrected Area Counts'!H73</f>
        <v>0</v>
      </c>
      <c r="AY71" t="e">
        <f>Yields!F73</f>
        <v>#DIV/0!</v>
      </c>
      <c r="AZ71">
        <f>'Plate Planning'!$K$20</f>
        <v>0</v>
      </c>
      <c r="BA71">
        <f>'Plate Planning'!$L$20</f>
        <v>0</v>
      </c>
      <c r="BB71">
        <f>'Uncorrected Area Counts'!I73</f>
        <v>0</v>
      </c>
      <c r="BC71" t="e">
        <f>Yields!G73</f>
        <v>#DIV/0!</v>
      </c>
      <c r="BD71">
        <f>'Plate Planning'!$K$21</f>
        <v>0</v>
      </c>
      <c r="BE71">
        <f>'Plate Planning'!$L$21</f>
        <v>0</v>
      </c>
      <c r="BF71">
        <f>'Uncorrected Area Counts'!J73</f>
        <v>0</v>
      </c>
      <c r="BG71" t="e">
        <f>Yields!H73</f>
        <v>#DIV/0!</v>
      </c>
      <c r="BH71">
        <f>'Plate Planning'!$K$22</f>
        <v>0</v>
      </c>
      <c r="BI71">
        <f>'Plate Planning'!$L$22</f>
        <v>0</v>
      </c>
      <c r="BJ71">
        <f>'Uncorrected Area Counts'!K73</f>
        <v>0</v>
      </c>
      <c r="BK71" t="e">
        <f>Yields!I73</f>
        <v>#DIV/0!</v>
      </c>
      <c r="BL71">
        <f>'Plate Planning'!$K$23</f>
        <v>0</v>
      </c>
      <c r="BM71">
        <f>'Plate Planning'!$L$23</f>
        <v>0</v>
      </c>
      <c r="BN71">
        <f>'Uncorrected Area Counts'!L73</f>
        <v>0</v>
      </c>
      <c r="BO71" t="e">
        <f>Yields!J73</f>
        <v>#DIV/0!</v>
      </c>
      <c r="BP71">
        <f>'Plate Planning'!$K$24</f>
        <v>0</v>
      </c>
      <c r="BQ71">
        <f>'Plate Planning'!$L$24</f>
        <v>0</v>
      </c>
      <c r="BR71">
        <f>'Uncorrected Area Counts'!M73</f>
        <v>0</v>
      </c>
      <c r="BS71" t="e">
        <f>Yields!K73</f>
        <v>#DIV/0!</v>
      </c>
      <c r="BT71">
        <f>'Plate Planning'!$L$17</f>
        <v>0</v>
      </c>
      <c r="BU71">
        <f>'Plate Planning'!$M$17</f>
        <v>0</v>
      </c>
      <c r="BV71">
        <f>'Uncorrected Area Counts'!F73</f>
        <v>0</v>
      </c>
    </row>
    <row r="72" spans="1:74">
      <c r="A72" s="1">
        <v>71</v>
      </c>
      <c r="B72" s="1">
        <v>11</v>
      </c>
      <c r="C72" s="1">
        <v>6</v>
      </c>
      <c r="D72" s="1">
        <f>'Plate Planning'!$H$16</f>
        <v>0</v>
      </c>
      <c r="E72" s="1" t="str">
        <f>'Plate Planning'!$H$17</f>
        <v>LC-MS</v>
      </c>
      <c r="F72" s="1">
        <f>'Plate Planning'!$H$18</f>
        <v>500</v>
      </c>
      <c r="G72" s="1">
        <f>'Plate Planning'!$H$20</f>
        <v>25</v>
      </c>
      <c r="H72" s="1">
        <f>'Plate Planning'!$H$19</f>
        <v>24</v>
      </c>
      <c r="I72" s="1" t="b">
        <f>'Plate Planning'!$H$21</f>
        <v>1</v>
      </c>
      <c r="J72" s="1" t="str">
        <f>IF('Plate Planning'!$H$22=0, "NA",'Plate Planning'!$H$22)</f>
        <v>NA</v>
      </c>
      <c r="K72" s="1">
        <f>Reagents!$D$2</f>
        <v>0</v>
      </c>
      <c r="L72" s="1">
        <f>Reagents!$D$2</f>
        <v>0</v>
      </c>
      <c r="M72" s="1">
        <f>Reagents!$J$2</f>
        <v>0</v>
      </c>
      <c r="N72" s="1">
        <f>Reagents!$D$3</f>
        <v>0</v>
      </c>
      <c r="O72" s="1">
        <f>Reagents!$J$3</f>
        <v>0</v>
      </c>
      <c r="P72" s="1">
        <f>Reagents!$D$4</f>
        <v>0</v>
      </c>
      <c r="Q72" s="1">
        <f>Reagents!$J$4</f>
        <v>0</v>
      </c>
      <c r="R72" s="1">
        <f>Reagents!$D$5</f>
        <v>0</v>
      </c>
      <c r="S72" s="1">
        <f>Reagents!$J$5</f>
        <v>0</v>
      </c>
      <c r="T72" s="1">
        <f>Reagents!$D$6</f>
        <v>0</v>
      </c>
      <c r="U72" s="1">
        <f>Reagents!$J$6</f>
        <v>0</v>
      </c>
      <c r="V72" s="1">
        <f>Reagents!$D$7</f>
        <v>0</v>
      </c>
      <c r="W72" s="1">
        <f>Reagents!$J$7</f>
        <v>0</v>
      </c>
      <c r="X72" s="1">
        <f>Reagents!$D$8</f>
        <v>0</v>
      </c>
      <c r="Y72" s="1">
        <f>Reagents!$J$8</f>
        <v>0</v>
      </c>
      <c r="Z72" s="1">
        <f>Reagents!$D$9</f>
        <v>0</v>
      </c>
      <c r="AA72" s="1">
        <f>Reagents!$J$9</f>
        <v>0</v>
      </c>
      <c r="AB72" s="1">
        <f>Reagents!$D$10</f>
        <v>0</v>
      </c>
      <c r="AC72" s="1">
        <f>Reagents!$J$10</f>
        <v>0</v>
      </c>
      <c r="AD72" s="1">
        <f>Reagents!$D$11</f>
        <v>0</v>
      </c>
      <c r="AE72" s="1">
        <f>Reagents!$J$11</f>
        <v>0</v>
      </c>
      <c r="AF72" t="str">
        <f>Reagents!$C$22</f>
        <v>-</v>
      </c>
      <c r="AG72">
        <f>Reagents!$D$22</f>
        <v>0</v>
      </c>
      <c r="AH72">
        <f>Reagents!$J$22</f>
        <v>0</v>
      </c>
      <c r="AI72" t="str">
        <f>Reagents!$C$34</f>
        <v>-</v>
      </c>
      <c r="AJ72">
        <f>Reagents!$D$34</f>
        <v>0</v>
      </c>
      <c r="AK72">
        <f>Reagents!$J$34</f>
        <v>0</v>
      </c>
      <c r="AL72" t="str">
        <f>Reagents!$C$41</f>
        <v>-</v>
      </c>
      <c r="AM72">
        <f>Reagents!$D$41</f>
        <v>0</v>
      </c>
      <c r="AN72">
        <f>Reagents!$J$41</f>
        <v>0</v>
      </c>
      <c r="AO72" t="str">
        <f>Reagents!$C$49</f>
        <v>-</v>
      </c>
      <c r="AP72">
        <f>Reagents!$D$49</f>
        <v>0</v>
      </c>
      <c r="AQ72">
        <f>Reagents!$J$49</f>
        <v>0</v>
      </c>
      <c r="AR72">
        <f>'Plate Planning'!$K$18</f>
        <v>0</v>
      </c>
      <c r="AS72">
        <f>'Plate Planning'!$L$18</f>
        <v>0</v>
      </c>
      <c r="AT72">
        <f>'Uncorrected Area Counts'!G74</f>
        <v>0</v>
      </c>
      <c r="AU72" t="e">
        <f>Yields!E74</f>
        <v>#DIV/0!</v>
      </c>
      <c r="AV72">
        <f>'Plate Planning'!$K$19</f>
        <v>0</v>
      </c>
      <c r="AW72">
        <f>'Plate Planning'!$L$19</f>
        <v>0</v>
      </c>
      <c r="AX72">
        <f>'Uncorrected Area Counts'!H74</f>
        <v>0</v>
      </c>
      <c r="AY72" t="e">
        <f>Yields!F74</f>
        <v>#DIV/0!</v>
      </c>
      <c r="AZ72">
        <f>'Plate Planning'!$K$20</f>
        <v>0</v>
      </c>
      <c r="BA72">
        <f>'Plate Planning'!$L$20</f>
        <v>0</v>
      </c>
      <c r="BB72">
        <f>'Uncorrected Area Counts'!I74</f>
        <v>0</v>
      </c>
      <c r="BC72" t="e">
        <f>Yields!G74</f>
        <v>#DIV/0!</v>
      </c>
      <c r="BD72">
        <f>'Plate Planning'!$K$21</f>
        <v>0</v>
      </c>
      <c r="BE72">
        <f>'Plate Planning'!$L$21</f>
        <v>0</v>
      </c>
      <c r="BF72">
        <f>'Uncorrected Area Counts'!J74</f>
        <v>0</v>
      </c>
      <c r="BG72" t="e">
        <f>Yields!H74</f>
        <v>#DIV/0!</v>
      </c>
      <c r="BH72">
        <f>'Plate Planning'!$K$22</f>
        <v>0</v>
      </c>
      <c r="BI72">
        <f>'Plate Planning'!$L$22</f>
        <v>0</v>
      </c>
      <c r="BJ72">
        <f>'Uncorrected Area Counts'!K74</f>
        <v>0</v>
      </c>
      <c r="BK72" t="e">
        <f>Yields!I74</f>
        <v>#DIV/0!</v>
      </c>
      <c r="BL72">
        <f>'Plate Planning'!$K$23</f>
        <v>0</v>
      </c>
      <c r="BM72">
        <f>'Plate Planning'!$L$23</f>
        <v>0</v>
      </c>
      <c r="BN72">
        <f>'Uncorrected Area Counts'!L74</f>
        <v>0</v>
      </c>
      <c r="BO72" t="e">
        <f>Yields!J74</f>
        <v>#DIV/0!</v>
      </c>
      <c r="BP72">
        <f>'Plate Planning'!$K$24</f>
        <v>0</v>
      </c>
      <c r="BQ72">
        <f>'Plate Planning'!$L$24</f>
        <v>0</v>
      </c>
      <c r="BR72">
        <f>'Uncorrected Area Counts'!M74</f>
        <v>0</v>
      </c>
      <c r="BS72" t="e">
        <f>Yields!K74</f>
        <v>#DIV/0!</v>
      </c>
      <c r="BT72">
        <f>'Plate Planning'!$L$17</f>
        <v>0</v>
      </c>
      <c r="BU72">
        <f>'Plate Planning'!$M$17</f>
        <v>0</v>
      </c>
      <c r="BV72">
        <f>'Uncorrected Area Counts'!F74</f>
        <v>0</v>
      </c>
    </row>
    <row r="73" spans="1:74">
      <c r="A73" s="1">
        <v>72</v>
      </c>
      <c r="B73" s="1">
        <v>12</v>
      </c>
      <c r="C73" s="1">
        <v>6</v>
      </c>
      <c r="D73" s="1">
        <f>'Plate Planning'!$H$16</f>
        <v>0</v>
      </c>
      <c r="E73" s="1" t="str">
        <f>'Plate Planning'!$H$17</f>
        <v>LC-MS</v>
      </c>
      <c r="F73" s="1">
        <f>'Plate Planning'!$H$18</f>
        <v>500</v>
      </c>
      <c r="G73" s="1">
        <f>'Plate Planning'!$H$20</f>
        <v>25</v>
      </c>
      <c r="H73" s="1">
        <f>'Plate Planning'!$H$19</f>
        <v>24</v>
      </c>
      <c r="I73" s="1" t="b">
        <f>'Plate Planning'!$H$21</f>
        <v>1</v>
      </c>
      <c r="J73" s="1" t="str">
        <f>IF('Plate Planning'!$H$22=0, "NA",'Plate Planning'!$H$22)</f>
        <v>NA</v>
      </c>
      <c r="K73" s="1">
        <f>Reagents!$D$2</f>
        <v>0</v>
      </c>
      <c r="L73" s="1">
        <f>Reagents!$D$2</f>
        <v>0</v>
      </c>
      <c r="M73" s="1">
        <f>Reagents!$J$2</f>
        <v>0</v>
      </c>
      <c r="N73" s="1">
        <f>Reagents!$D$3</f>
        <v>0</v>
      </c>
      <c r="O73" s="1">
        <f>Reagents!$J$3</f>
        <v>0</v>
      </c>
      <c r="P73" s="1">
        <f>Reagents!$D$4</f>
        <v>0</v>
      </c>
      <c r="Q73" s="1">
        <f>Reagents!$J$4</f>
        <v>0</v>
      </c>
      <c r="R73" s="1">
        <f>Reagents!$D$5</f>
        <v>0</v>
      </c>
      <c r="S73" s="1">
        <f>Reagents!$J$5</f>
        <v>0</v>
      </c>
      <c r="T73" s="1">
        <f>Reagents!$D$6</f>
        <v>0</v>
      </c>
      <c r="U73" s="1">
        <f>Reagents!$J$6</f>
        <v>0</v>
      </c>
      <c r="V73" s="1">
        <f>Reagents!$D$7</f>
        <v>0</v>
      </c>
      <c r="W73" s="1">
        <f>Reagents!$J$7</f>
        <v>0</v>
      </c>
      <c r="X73" s="1">
        <f>Reagents!$D$8</f>
        <v>0</v>
      </c>
      <c r="Y73" s="1">
        <f>Reagents!$J$8</f>
        <v>0</v>
      </c>
      <c r="Z73" s="1">
        <f>Reagents!$D$9</f>
        <v>0</v>
      </c>
      <c r="AA73" s="1">
        <f>Reagents!$J$9</f>
        <v>0</v>
      </c>
      <c r="AB73" s="1">
        <f>Reagents!$D$10</f>
        <v>0</v>
      </c>
      <c r="AC73" s="1">
        <f>Reagents!$J$10</f>
        <v>0</v>
      </c>
      <c r="AD73" s="1">
        <f>Reagents!$D$11</f>
        <v>0</v>
      </c>
      <c r="AE73" s="1">
        <f>Reagents!$J$11</f>
        <v>0</v>
      </c>
      <c r="AF73" t="str">
        <f>Reagents!$C$23</f>
        <v>-</v>
      </c>
      <c r="AG73">
        <f>Reagents!$D$23</f>
        <v>0</v>
      </c>
      <c r="AH73">
        <f>Reagents!$J$23</f>
        <v>0</v>
      </c>
      <c r="AI73" t="str">
        <f>Reagents!$C$35</f>
        <v>-</v>
      </c>
      <c r="AJ73">
        <f>Reagents!$D$35</f>
        <v>0</v>
      </c>
      <c r="AK73">
        <f>Reagents!$J$35</f>
        <v>0</v>
      </c>
      <c r="AL73" t="str">
        <f>Reagents!$C$41</f>
        <v>-</v>
      </c>
      <c r="AM73">
        <f>Reagents!$D$41</f>
        <v>0</v>
      </c>
      <c r="AN73">
        <f>Reagents!$J$41</f>
        <v>0</v>
      </c>
      <c r="AO73" t="str">
        <f>Reagents!$C$49</f>
        <v>-</v>
      </c>
      <c r="AP73">
        <f>Reagents!$D$49</f>
        <v>0</v>
      </c>
      <c r="AQ73">
        <f>Reagents!$J$49</f>
        <v>0</v>
      </c>
      <c r="AR73">
        <f>'Plate Planning'!$K$18</f>
        <v>0</v>
      </c>
      <c r="AS73">
        <f>'Plate Planning'!$L$18</f>
        <v>0</v>
      </c>
      <c r="AT73">
        <f>'Uncorrected Area Counts'!G75</f>
        <v>0</v>
      </c>
      <c r="AU73" t="e">
        <f>Yields!E75</f>
        <v>#DIV/0!</v>
      </c>
      <c r="AV73">
        <f>'Plate Planning'!$K$19</f>
        <v>0</v>
      </c>
      <c r="AW73">
        <f>'Plate Planning'!$L$19</f>
        <v>0</v>
      </c>
      <c r="AX73">
        <f>'Uncorrected Area Counts'!H75</f>
        <v>0</v>
      </c>
      <c r="AY73" t="e">
        <f>Yields!F75</f>
        <v>#DIV/0!</v>
      </c>
      <c r="AZ73">
        <f>'Plate Planning'!$K$20</f>
        <v>0</v>
      </c>
      <c r="BA73">
        <f>'Plate Planning'!$L$20</f>
        <v>0</v>
      </c>
      <c r="BB73">
        <f>'Uncorrected Area Counts'!I75</f>
        <v>0</v>
      </c>
      <c r="BC73" t="e">
        <f>Yields!G75</f>
        <v>#DIV/0!</v>
      </c>
      <c r="BD73">
        <f>'Plate Planning'!$K$21</f>
        <v>0</v>
      </c>
      <c r="BE73">
        <f>'Plate Planning'!$L$21</f>
        <v>0</v>
      </c>
      <c r="BF73">
        <f>'Uncorrected Area Counts'!J75</f>
        <v>0</v>
      </c>
      <c r="BG73" t="e">
        <f>Yields!H75</f>
        <v>#DIV/0!</v>
      </c>
      <c r="BH73">
        <f>'Plate Planning'!$K$22</f>
        <v>0</v>
      </c>
      <c r="BI73">
        <f>'Plate Planning'!$L$22</f>
        <v>0</v>
      </c>
      <c r="BJ73">
        <f>'Uncorrected Area Counts'!K75</f>
        <v>0</v>
      </c>
      <c r="BK73" t="e">
        <f>Yields!I75</f>
        <v>#DIV/0!</v>
      </c>
      <c r="BL73">
        <f>'Plate Planning'!$K$23</f>
        <v>0</v>
      </c>
      <c r="BM73">
        <f>'Plate Planning'!$L$23</f>
        <v>0</v>
      </c>
      <c r="BN73">
        <f>'Uncorrected Area Counts'!L75</f>
        <v>0</v>
      </c>
      <c r="BO73" t="e">
        <f>Yields!J75</f>
        <v>#DIV/0!</v>
      </c>
      <c r="BP73">
        <f>'Plate Planning'!$K$24</f>
        <v>0</v>
      </c>
      <c r="BQ73">
        <f>'Plate Planning'!$L$24</f>
        <v>0</v>
      </c>
      <c r="BR73">
        <f>'Uncorrected Area Counts'!M75</f>
        <v>0</v>
      </c>
      <c r="BS73" t="e">
        <f>Yields!K75</f>
        <v>#DIV/0!</v>
      </c>
      <c r="BT73">
        <f>'Plate Planning'!$L$17</f>
        <v>0</v>
      </c>
      <c r="BU73">
        <f>'Plate Planning'!$M$17</f>
        <v>0</v>
      </c>
      <c r="BV73">
        <f>'Uncorrected Area Counts'!F75</f>
        <v>0</v>
      </c>
    </row>
    <row r="74" spans="1:74">
      <c r="A74" s="1">
        <v>73</v>
      </c>
      <c r="B74" s="1">
        <v>1</v>
      </c>
      <c r="C74" s="1">
        <v>7</v>
      </c>
      <c r="D74" s="1">
        <f>'Plate Planning'!$H$16</f>
        <v>0</v>
      </c>
      <c r="E74" s="1" t="str">
        <f>'Plate Planning'!$H$17</f>
        <v>LC-MS</v>
      </c>
      <c r="F74" s="1">
        <f>'Plate Planning'!$H$18</f>
        <v>500</v>
      </c>
      <c r="G74" s="1">
        <f>'Plate Planning'!$H$20</f>
        <v>25</v>
      </c>
      <c r="H74" s="1">
        <f>'Plate Planning'!$H$19</f>
        <v>24</v>
      </c>
      <c r="I74" s="1" t="b">
        <f>'Plate Planning'!$H$21</f>
        <v>1</v>
      </c>
      <c r="J74" s="1" t="str">
        <f>IF('Plate Planning'!$H$22=0, "NA",'Plate Planning'!$H$22)</f>
        <v>NA</v>
      </c>
      <c r="K74" s="1">
        <f>Reagents!$D$2</f>
        <v>0</v>
      </c>
      <c r="L74" s="1">
        <f>Reagents!$D$2</f>
        <v>0</v>
      </c>
      <c r="M74" s="1">
        <f>Reagents!$J$2</f>
        <v>0</v>
      </c>
      <c r="N74" s="1">
        <f>Reagents!$D$3</f>
        <v>0</v>
      </c>
      <c r="O74" s="1">
        <f>Reagents!$J$3</f>
        <v>0</v>
      </c>
      <c r="P74" s="1">
        <f>Reagents!$D$4</f>
        <v>0</v>
      </c>
      <c r="Q74" s="1">
        <f>Reagents!$J$4</f>
        <v>0</v>
      </c>
      <c r="R74" s="1">
        <f>Reagents!$D$5</f>
        <v>0</v>
      </c>
      <c r="S74" s="1">
        <f>Reagents!$J$5</f>
        <v>0</v>
      </c>
      <c r="T74" s="1">
        <f>Reagents!$D$6</f>
        <v>0</v>
      </c>
      <c r="U74" s="1">
        <f>Reagents!$J$6</f>
        <v>0</v>
      </c>
      <c r="V74" s="1">
        <f>Reagents!$D$7</f>
        <v>0</v>
      </c>
      <c r="W74" s="1">
        <f>Reagents!$J$7</f>
        <v>0</v>
      </c>
      <c r="X74" s="1">
        <f>Reagents!$D$8</f>
        <v>0</v>
      </c>
      <c r="Y74" s="1">
        <f>Reagents!$J$8</f>
        <v>0</v>
      </c>
      <c r="Z74" s="1">
        <f>Reagents!$D$9</f>
        <v>0</v>
      </c>
      <c r="AA74" s="1">
        <f>Reagents!$J$9</f>
        <v>0</v>
      </c>
      <c r="AB74" s="1">
        <f>Reagents!$D$10</f>
        <v>0</v>
      </c>
      <c r="AC74" s="1">
        <f>Reagents!$J$10</f>
        <v>0</v>
      </c>
      <c r="AD74" s="1">
        <f>Reagents!$D$11</f>
        <v>0</v>
      </c>
      <c r="AE74" s="1">
        <f>Reagents!$J$11</f>
        <v>0</v>
      </c>
      <c r="AF74" t="str">
        <f>Reagents!$C$12</f>
        <v>-</v>
      </c>
      <c r="AG74">
        <f>Reagents!$D$12</f>
        <v>0</v>
      </c>
      <c r="AH74">
        <f>Reagents!$J$12</f>
        <v>0</v>
      </c>
      <c r="AI74" t="str">
        <f>Reagents!$C$24</f>
        <v>-</v>
      </c>
      <c r="AJ74">
        <f>Reagents!$D$24</f>
        <v>0</v>
      </c>
      <c r="AK74">
        <f>Reagents!$J$24</f>
        <v>0</v>
      </c>
      <c r="AL74" t="str">
        <f>Reagents!$C$42</f>
        <v>-</v>
      </c>
      <c r="AM74">
        <f>Reagents!$D$42</f>
        <v>0</v>
      </c>
      <c r="AN74">
        <f>Reagents!$J$42</f>
        <v>0</v>
      </c>
      <c r="AO74" t="str">
        <f>Reagents!$C$50</f>
        <v>-</v>
      </c>
      <c r="AP74">
        <f>Reagents!$D$50</f>
        <v>0</v>
      </c>
      <c r="AQ74">
        <f>Reagents!$J$50</f>
        <v>0</v>
      </c>
      <c r="AR74">
        <f>'Plate Planning'!$K$18</f>
        <v>0</v>
      </c>
      <c r="AS74">
        <f>'Plate Planning'!$L$18</f>
        <v>0</v>
      </c>
      <c r="AT74">
        <f>'Uncorrected Area Counts'!G76</f>
        <v>0</v>
      </c>
      <c r="AU74" t="e">
        <f>Yields!E76</f>
        <v>#DIV/0!</v>
      </c>
      <c r="AV74">
        <f>'Plate Planning'!$K$19</f>
        <v>0</v>
      </c>
      <c r="AW74">
        <f>'Plate Planning'!$L$19</f>
        <v>0</v>
      </c>
      <c r="AX74">
        <f>'Uncorrected Area Counts'!H76</f>
        <v>0</v>
      </c>
      <c r="AY74" t="e">
        <f>Yields!F76</f>
        <v>#DIV/0!</v>
      </c>
      <c r="AZ74">
        <f>'Plate Planning'!$K$20</f>
        <v>0</v>
      </c>
      <c r="BA74">
        <f>'Plate Planning'!$L$20</f>
        <v>0</v>
      </c>
      <c r="BB74">
        <f>'Uncorrected Area Counts'!I76</f>
        <v>0</v>
      </c>
      <c r="BC74" t="e">
        <f>Yields!G76</f>
        <v>#DIV/0!</v>
      </c>
      <c r="BD74">
        <f>'Plate Planning'!$K$21</f>
        <v>0</v>
      </c>
      <c r="BE74">
        <f>'Plate Planning'!$L$21</f>
        <v>0</v>
      </c>
      <c r="BF74">
        <f>'Uncorrected Area Counts'!J76</f>
        <v>0</v>
      </c>
      <c r="BG74" t="e">
        <f>Yields!H76</f>
        <v>#DIV/0!</v>
      </c>
      <c r="BH74">
        <f>'Plate Planning'!$K$22</f>
        <v>0</v>
      </c>
      <c r="BI74">
        <f>'Plate Planning'!$L$22</f>
        <v>0</v>
      </c>
      <c r="BJ74">
        <f>'Uncorrected Area Counts'!K76</f>
        <v>0</v>
      </c>
      <c r="BK74" t="e">
        <f>Yields!I76</f>
        <v>#DIV/0!</v>
      </c>
      <c r="BL74">
        <f>'Plate Planning'!$K$23</f>
        <v>0</v>
      </c>
      <c r="BM74">
        <f>'Plate Planning'!$L$23</f>
        <v>0</v>
      </c>
      <c r="BN74">
        <f>'Uncorrected Area Counts'!L76</f>
        <v>0</v>
      </c>
      <c r="BO74" t="e">
        <f>Yields!J76</f>
        <v>#DIV/0!</v>
      </c>
      <c r="BP74">
        <f>'Plate Planning'!$K$24</f>
        <v>0</v>
      </c>
      <c r="BQ74">
        <f>'Plate Planning'!$L$24</f>
        <v>0</v>
      </c>
      <c r="BR74">
        <f>'Uncorrected Area Counts'!M76</f>
        <v>0</v>
      </c>
      <c r="BS74" t="e">
        <f>Yields!K76</f>
        <v>#DIV/0!</v>
      </c>
      <c r="BT74">
        <f>'Plate Planning'!$L$17</f>
        <v>0</v>
      </c>
      <c r="BU74">
        <f>'Plate Planning'!$M$17</f>
        <v>0</v>
      </c>
      <c r="BV74">
        <f>'Uncorrected Area Counts'!F76</f>
        <v>0</v>
      </c>
    </row>
    <row r="75" spans="1:74">
      <c r="A75" s="1">
        <v>74</v>
      </c>
      <c r="B75" s="1">
        <v>2</v>
      </c>
      <c r="C75" s="1">
        <v>7</v>
      </c>
      <c r="D75" s="1">
        <f>'Plate Planning'!$H$16</f>
        <v>0</v>
      </c>
      <c r="E75" s="1" t="str">
        <f>'Plate Planning'!$H$17</f>
        <v>LC-MS</v>
      </c>
      <c r="F75" s="1">
        <f>'Plate Planning'!$H$18</f>
        <v>500</v>
      </c>
      <c r="G75" s="1">
        <f>'Plate Planning'!$H$20</f>
        <v>25</v>
      </c>
      <c r="H75" s="1">
        <f>'Plate Planning'!$H$19</f>
        <v>24</v>
      </c>
      <c r="I75" s="1" t="b">
        <f>'Plate Planning'!$H$21</f>
        <v>1</v>
      </c>
      <c r="J75" s="1" t="str">
        <f>IF('Plate Planning'!$H$22=0, "NA",'Plate Planning'!$H$22)</f>
        <v>NA</v>
      </c>
      <c r="K75" s="1">
        <f>Reagents!$D$2</f>
        <v>0</v>
      </c>
      <c r="L75" s="1">
        <f>Reagents!$D$2</f>
        <v>0</v>
      </c>
      <c r="M75" s="1">
        <f>Reagents!$J$2</f>
        <v>0</v>
      </c>
      <c r="N75" s="1">
        <f>Reagents!$D$3</f>
        <v>0</v>
      </c>
      <c r="O75" s="1">
        <f>Reagents!$J$3</f>
        <v>0</v>
      </c>
      <c r="P75" s="1">
        <f>Reagents!$D$4</f>
        <v>0</v>
      </c>
      <c r="Q75" s="1">
        <f>Reagents!$J$4</f>
        <v>0</v>
      </c>
      <c r="R75" s="1">
        <f>Reagents!$D$5</f>
        <v>0</v>
      </c>
      <c r="S75" s="1">
        <f>Reagents!$J$5</f>
        <v>0</v>
      </c>
      <c r="T75" s="1">
        <f>Reagents!$D$6</f>
        <v>0</v>
      </c>
      <c r="U75" s="1">
        <f>Reagents!$J$6</f>
        <v>0</v>
      </c>
      <c r="V75" s="1">
        <f>Reagents!$D$7</f>
        <v>0</v>
      </c>
      <c r="W75" s="1">
        <f>Reagents!$J$7</f>
        <v>0</v>
      </c>
      <c r="X75" s="1">
        <f>Reagents!$D$8</f>
        <v>0</v>
      </c>
      <c r="Y75" s="1">
        <f>Reagents!$J$8</f>
        <v>0</v>
      </c>
      <c r="Z75" s="1">
        <f>Reagents!$D$9</f>
        <v>0</v>
      </c>
      <c r="AA75" s="1">
        <f>Reagents!$J$9</f>
        <v>0</v>
      </c>
      <c r="AB75" s="1">
        <f>Reagents!$D$10</f>
        <v>0</v>
      </c>
      <c r="AC75" s="1">
        <f>Reagents!$J$10</f>
        <v>0</v>
      </c>
      <c r="AD75" s="1">
        <f>Reagents!$D$11</f>
        <v>0</v>
      </c>
      <c r="AE75" s="1">
        <f>Reagents!$J$11</f>
        <v>0</v>
      </c>
      <c r="AF75" t="str">
        <f>Reagents!$C$13</f>
        <v>-</v>
      </c>
      <c r="AG75">
        <f>Reagents!$D$13</f>
        <v>0</v>
      </c>
      <c r="AH75">
        <f>Reagents!$J$13</f>
        <v>0</v>
      </c>
      <c r="AI75" t="str">
        <f>Reagents!$C$25</f>
        <v>-</v>
      </c>
      <c r="AJ75">
        <f>Reagents!$D$25</f>
        <v>0</v>
      </c>
      <c r="AK75">
        <f>Reagents!$J$25</f>
        <v>0</v>
      </c>
      <c r="AL75" t="str">
        <f>Reagents!$C$42</f>
        <v>-</v>
      </c>
      <c r="AM75">
        <f>Reagents!$D$42</f>
        <v>0</v>
      </c>
      <c r="AN75">
        <f>Reagents!$J$42</f>
        <v>0</v>
      </c>
      <c r="AO75" t="str">
        <f>Reagents!$C$50</f>
        <v>-</v>
      </c>
      <c r="AP75">
        <f>Reagents!$D$50</f>
        <v>0</v>
      </c>
      <c r="AQ75">
        <f>Reagents!$J$50</f>
        <v>0</v>
      </c>
      <c r="AR75">
        <f>'Plate Planning'!$K$18</f>
        <v>0</v>
      </c>
      <c r="AS75">
        <f>'Plate Planning'!$L$18</f>
        <v>0</v>
      </c>
      <c r="AT75">
        <f>'Uncorrected Area Counts'!G77</f>
        <v>0</v>
      </c>
      <c r="AU75" t="e">
        <f>Yields!E77</f>
        <v>#DIV/0!</v>
      </c>
      <c r="AV75">
        <f>'Plate Planning'!$K$19</f>
        <v>0</v>
      </c>
      <c r="AW75">
        <f>'Plate Planning'!$L$19</f>
        <v>0</v>
      </c>
      <c r="AX75">
        <f>'Uncorrected Area Counts'!H77</f>
        <v>0</v>
      </c>
      <c r="AY75" t="e">
        <f>Yields!F77</f>
        <v>#DIV/0!</v>
      </c>
      <c r="AZ75">
        <f>'Plate Planning'!$K$20</f>
        <v>0</v>
      </c>
      <c r="BA75">
        <f>'Plate Planning'!$L$20</f>
        <v>0</v>
      </c>
      <c r="BB75">
        <f>'Uncorrected Area Counts'!I77</f>
        <v>0</v>
      </c>
      <c r="BC75" t="e">
        <f>Yields!G77</f>
        <v>#DIV/0!</v>
      </c>
      <c r="BD75">
        <f>'Plate Planning'!$K$21</f>
        <v>0</v>
      </c>
      <c r="BE75">
        <f>'Plate Planning'!$L$21</f>
        <v>0</v>
      </c>
      <c r="BF75">
        <f>'Uncorrected Area Counts'!J77</f>
        <v>0</v>
      </c>
      <c r="BG75" t="e">
        <f>Yields!H77</f>
        <v>#DIV/0!</v>
      </c>
      <c r="BH75">
        <f>'Plate Planning'!$K$22</f>
        <v>0</v>
      </c>
      <c r="BI75">
        <f>'Plate Planning'!$L$22</f>
        <v>0</v>
      </c>
      <c r="BJ75">
        <f>'Uncorrected Area Counts'!K77</f>
        <v>0</v>
      </c>
      <c r="BK75" t="e">
        <f>Yields!I77</f>
        <v>#DIV/0!</v>
      </c>
      <c r="BL75">
        <f>'Plate Planning'!$K$23</f>
        <v>0</v>
      </c>
      <c r="BM75">
        <f>'Plate Planning'!$L$23</f>
        <v>0</v>
      </c>
      <c r="BN75">
        <f>'Uncorrected Area Counts'!L77</f>
        <v>0</v>
      </c>
      <c r="BO75" t="e">
        <f>Yields!J77</f>
        <v>#DIV/0!</v>
      </c>
      <c r="BP75">
        <f>'Plate Planning'!$K$24</f>
        <v>0</v>
      </c>
      <c r="BQ75">
        <f>'Plate Planning'!$L$24</f>
        <v>0</v>
      </c>
      <c r="BR75">
        <f>'Uncorrected Area Counts'!M77</f>
        <v>0</v>
      </c>
      <c r="BS75" t="e">
        <f>Yields!K77</f>
        <v>#DIV/0!</v>
      </c>
      <c r="BT75">
        <f>'Plate Planning'!$L$17</f>
        <v>0</v>
      </c>
      <c r="BU75">
        <f>'Plate Planning'!$M$17</f>
        <v>0</v>
      </c>
      <c r="BV75">
        <f>'Uncorrected Area Counts'!F77</f>
        <v>0</v>
      </c>
    </row>
    <row r="76" spans="1:74">
      <c r="A76" s="1">
        <v>75</v>
      </c>
      <c r="B76" s="1">
        <v>3</v>
      </c>
      <c r="C76" s="1">
        <v>7</v>
      </c>
      <c r="D76" s="1">
        <f>'Plate Planning'!$H$16</f>
        <v>0</v>
      </c>
      <c r="E76" s="1" t="str">
        <f>'Plate Planning'!$H$17</f>
        <v>LC-MS</v>
      </c>
      <c r="F76" s="1">
        <f>'Plate Planning'!$H$18</f>
        <v>500</v>
      </c>
      <c r="G76" s="1">
        <f>'Plate Planning'!$H$20</f>
        <v>25</v>
      </c>
      <c r="H76" s="1">
        <f>'Plate Planning'!$H$19</f>
        <v>24</v>
      </c>
      <c r="I76" s="1" t="b">
        <f>'Plate Planning'!$H$21</f>
        <v>1</v>
      </c>
      <c r="J76" s="1" t="str">
        <f>IF('Plate Planning'!$H$22=0, "NA",'Plate Planning'!$H$22)</f>
        <v>NA</v>
      </c>
      <c r="K76" s="1">
        <f>Reagents!$D$2</f>
        <v>0</v>
      </c>
      <c r="L76" s="1">
        <f>Reagents!$D$2</f>
        <v>0</v>
      </c>
      <c r="M76" s="1">
        <f>Reagents!$J$2</f>
        <v>0</v>
      </c>
      <c r="N76" s="1">
        <f>Reagents!$D$3</f>
        <v>0</v>
      </c>
      <c r="O76" s="1">
        <f>Reagents!$J$3</f>
        <v>0</v>
      </c>
      <c r="P76" s="1">
        <f>Reagents!$D$4</f>
        <v>0</v>
      </c>
      <c r="Q76" s="1">
        <f>Reagents!$J$4</f>
        <v>0</v>
      </c>
      <c r="R76" s="1">
        <f>Reagents!$D$5</f>
        <v>0</v>
      </c>
      <c r="S76" s="1">
        <f>Reagents!$J$5</f>
        <v>0</v>
      </c>
      <c r="T76" s="1">
        <f>Reagents!$D$6</f>
        <v>0</v>
      </c>
      <c r="U76" s="1">
        <f>Reagents!$J$6</f>
        <v>0</v>
      </c>
      <c r="V76" s="1">
        <f>Reagents!$D$7</f>
        <v>0</v>
      </c>
      <c r="W76" s="1">
        <f>Reagents!$J$7</f>
        <v>0</v>
      </c>
      <c r="X76" s="1">
        <f>Reagents!$D$8</f>
        <v>0</v>
      </c>
      <c r="Y76" s="1">
        <f>Reagents!$J$8</f>
        <v>0</v>
      </c>
      <c r="Z76" s="1">
        <f>Reagents!$D$9</f>
        <v>0</v>
      </c>
      <c r="AA76" s="1">
        <f>Reagents!$J$9</f>
        <v>0</v>
      </c>
      <c r="AB76" s="1">
        <f>Reagents!$D$10</f>
        <v>0</v>
      </c>
      <c r="AC76" s="1">
        <f>Reagents!$J$10</f>
        <v>0</v>
      </c>
      <c r="AD76" s="1">
        <f>Reagents!$D$11</f>
        <v>0</v>
      </c>
      <c r="AE76" s="1">
        <f>Reagents!$J$11</f>
        <v>0</v>
      </c>
      <c r="AF76" t="str">
        <f>Reagents!$C$14</f>
        <v>-</v>
      </c>
      <c r="AG76">
        <f>Reagents!$D$14</f>
        <v>0</v>
      </c>
      <c r="AH76">
        <f>Reagents!$J$14</f>
        <v>0</v>
      </c>
      <c r="AI76" t="str">
        <f>Reagents!$C$26</f>
        <v>-</v>
      </c>
      <c r="AJ76">
        <f>Reagents!$D$26</f>
        <v>0</v>
      </c>
      <c r="AK76">
        <f>Reagents!$J$26</f>
        <v>0</v>
      </c>
      <c r="AL76" t="str">
        <f>Reagents!$C$42</f>
        <v>-</v>
      </c>
      <c r="AM76">
        <f>Reagents!$D$42</f>
        <v>0</v>
      </c>
      <c r="AN76">
        <f>Reagents!$J$42</f>
        <v>0</v>
      </c>
      <c r="AO76" t="str">
        <f>Reagents!$C$50</f>
        <v>-</v>
      </c>
      <c r="AP76">
        <f>Reagents!$D$50</f>
        <v>0</v>
      </c>
      <c r="AQ76">
        <f>Reagents!$J$50</f>
        <v>0</v>
      </c>
      <c r="AR76">
        <f>'Plate Planning'!$K$18</f>
        <v>0</v>
      </c>
      <c r="AS76">
        <f>'Plate Planning'!$L$18</f>
        <v>0</v>
      </c>
      <c r="AT76">
        <f>'Uncorrected Area Counts'!G78</f>
        <v>0</v>
      </c>
      <c r="AU76" t="e">
        <f>Yields!E78</f>
        <v>#DIV/0!</v>
      </c>
      <c r="AV76">
        <f>'Plate Planning'!$K$19</f>
        <v>0</v>
      </c>
      <c r="AW76">
        <f>'Plate Planning'!$L$19</f>
        <v>0</v>
      </c>
      <c r="AX76">
        <f>'Uncorrected Area Counts'!H78</f>
        <v>0</v>
      </c>
      <c r="AY76" t="e">
        <f>Yields!F78</f>
        <v>#DIV/0!</v>
      </c>
      <c r="AZ76">
        <f>'Plate Planning'!$K$20</f>
        <v>0</v>
      </c>
      <c r="BA76">
        <f>'Plate Planning'!$L$20</f>
        <v>0</v>
      </c>
      <c r="BB76">
        <f>'Uncorrected Area Counts'!I78</f>
        <v>0</v>
      </c>
      <c r="BC76" t="e">
        <f>Yields!G78</f>
        <v>#DIV/0!</v>
      </c>
      <c r="BD76">
        <f>'Plate Planning'!$K$21</f>
        <v>0</v>
      </c>
      <c r="BE76">
        <f>'Plate Planning'!$L$21</f>
        <v>0</v>
      </c>
      <c r="BF76">
        <f>'Uncorrected Area Counts'!J78</f>
        <v>0</v>
      </c>
      <c r="BG76" t="e">
        <f>Yields!H78</f>
        <v>#DIV/0!</v>
      </c>
      <c r="BH76">
        <f>'Plate Planning'!$K$22</f>
        <v>0</v>
      </c>
      <c r="BI76">
        <f>'Plate Planning'!$L$22</f>
        <v>0</v>
      </c>
      <c r="BJ76">
        <f>'Uncorrected Area Counts'!K78</f>
        <v>0</v>
      </c>
      <c r="BK76" t="e">
        <f>Yields!I78</f>
        <v>#DIV/0!</v>
      </c>
      <c r="BL76">
        <f>'Plate Planning'!$K$23</f>
        <v>0</v>
      </c>
      <c r="BM76">
        <f>'Plate Planning'!$L$23</f>
        <v>0</v>
      </c>
      <c r="BN76">
        <f>'Uncorrected Area Counts'!L78</f>
        <v>0</v>
      </c>
      <c r="BO76" t="e">
        <f>Yields!J78</f>
        <v>#DIV/0!</v>
      </c>
      <c r="BP76">
        <f>'Plate Planning'!$K$24</f>
        <v>0</v>
      </c>
      <c r="BQ76">
        <f>'Plate Planning'!$L$24</f>
        <v>0</v>
      </c>
      <c r="BR76">
        <f>'Uncorrected Area Counts'!M78</f>
        <v>0</v>
      </c>
      <c r="BS76" t="e">
        <f>Yields!K78</f>
        <v>#DIV/0!</v>
      </c>
      <c r="BT76">
        <f>'Plate Planning'!$L$17</f>
        <v>0</v>
      </c>
      <c r="BU76">
        <f>'Plate Planning'!$M$17</f>
        <v>0</v>
      </c>
      <c r="BV76">
        <f>'Uncorrected Area Counts'!F78</f>
        <v>0</v>
      </c>
    </row>
    <row r="77" spans="1:74">
      <c r="A77" s="1">
        <v>76</v>
      </c>
      <c r="B77" s="1">
        <v>4</v>
      </c>
      <c r="C77" s="1">
        <v>7</v>
      </c>
      <c r="D77" s="1">
        <f>'Plate Planning'!$H$16</f>
        <v>0</v>
      </c>
      <c r="E77" s="1" t="str">
        <f>'Plate Planning'!$H$17</f>
        <v>LC-MS</v>
      </c>
      <c r="F77" s="1">
        <f>'Plate Planning'!$H$18</f>
        <v>500</v>
      </c>
      <c r="G77" s="1">
        <f>'Plate Planning'!$H$20</f>
        <v>25</v>
      </c>
      <c r="H77" s="1">
        <f>'Plate Planning'!$H$19</f>
        <v>24</v>
      </c>
      <c r="I77" s="1" t="b">
        <f>'Plate Planning'!$H$21</f>
        <v>1</v>
      </c>
      <c r="J77" s="1" t="str">
        <f>IF('Plate Planning'!$H$22=0, "NA",'Plate Planning'!$H$22)</f>
        <v>NA</v>
      </c>
      <c r="K77" s="1">
        <f>Reagents!$D$2</f>
        <v>0</v>
      </c>
      <c r="L77" s="1">
        <f>Reagents!$D$2</f>
        <v>0</v>
      </c>
      <c r="M77" s="1">
        <f>Reagents!$J$2</f>
        <v>0</v>
      </c>
      <c r="N77" s="1">
        <f>Reagents!$D$3</f>
        <v>0</v>
      </c>
      <c r="O77" s="1">
        <f>Reagents!$J$3</f>
        <v>0</v>
      </c>
      <c r="P77" s="1">
        <f>Reagents!$D$4</f>
        <v>0</v>
      </c>
      <c r="Q77" s="1">
        <f>Reagents!$J$4</f>
        <v>0</v>
      </c>
      <c r="R77" s="1">
        <f>Reagents!$D$5</f>
        <v>0</v>
      </c>
      <c r="S77" s="1">
        <f>Reagents!$J$5</f>
        <v>0</v>
      </c>
      <c r="T77" s="1">
        <f>Reagents!$D$6</f>
        <v>0</v>
      </c>
      <c r="U77" s="1">
        <f>Reagents!$J$6</f>
        <v>0</v>
      </c>
      <c r="V77" s="1">
        <f>Reagents!$D$7</f>
        <v>0</v>
      </c>
      <c r="W77" s="1">
        <f>Reagents!$J$7</f>
        <v>0</v>
      </c>
      <c r="X77" s="1">
        <f>Reagents!$D$8</f>
        <v>0</v>
      </c>
      <c r="Y77" s="1">
        <f>Reagents!$J$8</f>
        <v>0</v>
      </c>
      <c r="Z77" s="1">
        <f>Reagents!$D$9</f>
        <v>0</v>
      </c>
      <c r="AA77" s="1">
        <f>Reagents!$J$9</f>
        <v>0</v>
      </c>
      <c r="AB77" s="1">
        <f>Reagents!$D$10</f>
        <v>0</v>
      </c>
      <c r="AC77" s="1">
        <f>Reagents!$J$10</f>
        <v>0</v>
      </c>
      <c r="AD77" s="1">
        <f>Reagents!$D$11</f>
        <v>0</v>
      </c>
      <c r="AE77" s="1">
        <f>Reagents!$J$11</f>
        <v>0</v>
      </c>
      <c r="AF77" t="str">
        <f>Reagents!$C$15</f>
        <v>-</v>
      </c>
      <c r="AG77">
        <f>Reagents!$D$15</f>
        <v>0</v>
      </c>
      <c r="AH77">
        <f>Reagents!$J$15</f>
        <v>0</v>
      </c>
      <c r="AI77" t="str">
        <f>Reagents!$C$27</f>
        <v>-</v>
      </c>
      <c r="AJ77">
        <f>Reagents!$D$27</f>
        <v>0</v>
      </c>
      <c r="AK77">
        <f>Reagents!$J$27</f>
        <v>0</v>
      </c>
      <c r="AL77" t="str">
        <f>Reagents!$C$42</f>
        <v>-</v>
      </c>
      <c r="AM77">
        <f>Reagents!$D$42</f>
        <v>0</v>
      </c>
      <c r="AN77">
        <f>Reagents!$J$42</f>
        <v>0</v>
      </c>
      <c r="AO77" t="str">
        <f>Reagents!$C$50</f>
        <v>-</v>
      </c>
      <c r="AP77">
        <f>Reagents!$D$50</f>
        <v>0</v>
      </c>
      <c r="AQ77">
        <f>Reagents!$J$50</f>
        <v>0</v>
      </c>
      <c r="AR77">
        <f>'Plate Planning'!$K$18</f>
        <v>0</v>
      </c>
      <c r="AS77">
        <f>'Plate Planning'!$L$18</f>
        <v>0</v>
      </c>
      <c r="AT77">
        <f>'Uncorrected Area Counts'!G79</f>
        <v>0</v>
      </c>
      <c r="AU77" t="e">
        <f>Yields!E79</f>
        <v>#DIV/0!</v>
      </c>
      <c r="AV77">
        <f>'Plate Planning'!$K$19</f>
        <v>0</v>
      </c>
      <c r="AW77">
        <f>'Plate Planning'!$L$19</f>
        <v>0</v>
      </c>
      <c r="AX77">
        <f>'Uncorrected Area Counts'!H79</f>
        <v>0</v>
      </c>
      <c r="AY77" t="e">
        <f>Yields!F79</f>
        <v>#DIV/0!</v>
      </c>
      <c r="AZ77">
        <f>'Plate Planning'!$K$20</f>
        <v>0</v>
      </c>
      <c r="BA77">
        <f>'Plate Planning'!$L$20</f>
        <v>0</v>
      </c>
      <c r="BB77">
        <f>'Uncorrected Area Counts'!I79</f>
        <v>0</v>
      </c>
      <c r="BC77" t="e">
        <f>Yields!G79</f>
        <v>#DIV/0!</v>
      </c>
      <c r="BD77">
        <f>'Plate Planning'!$K$21</f>
        <v>0</v>
      </c>
      <c r="BE77">
        <f>'Plate Planning'!$L$21</f>
        <v>0</v>
      </c>
      <c r="BF77">
        <f>'Uncorrected Area Counts'!J79</f>
        <v>0</v>
      </c>
      <c r="BG77" t="e">
        <f>Yields!H79</f>
        <v>#DIV/0!</v>
      </c>
      <c r="BH77">
        <f>'Plate Planning'!$K$22</f>
        <v>0</v>
      </c>
      <c r="BI77">
        <f>'Plate Planning'!$L$22</f>
        <v>0</v>
      </c>
      <c r="BJ77">
        <f>'Uncorrected Area Counts'!K79</f>
        <v>0</v>
      </c>
      <c r="BK77" t="e">
        <f>Yields!I79</f>
        <v>#DIV/0!</v>
      </c>
      <c r="BL77">
        <f>'Plate Planning'!$K$23</f>
        <v>0</v>
      </c>
      <c r="BM77">
        <f>'Plate Planning'!$L$23</f>
        <v>0</v>
      </c>
      <c r="BN77">
        <f>'Uncorrected Area Counts'!L79</f>
        <v>0</v>
      </c>
      <c r="BO77" t="e">
        <f>Yields!J79</f>
        <v>#DIV/0!</v>
      </c>
      <c r="BP77">
        <f>'Plate Planning'!$K$24</f>
        <v>0</v>
      </c>
      <c r="BQ77">
        <f>'Plate Planning'!$L$24</f>
        <v>0</v>
      </c>
      <c r="BR77">
        <f>'Uncorrected Area Counts'!M79</f>
        <v>0</v>
      </c>
      <c r="BS77" t="e">
        <f>Yields!K79</f>
        <v>#DIV/0!</v>
      </c>
      <c r="BT77">
        <f>'Plate Planning'!$L$17</f>
        <v>0</v>
      </c>
      <c r="BU77">
        <f>'Plate Planning'!$M$17</f>
        <v>0</v>
      </c>
      <c r="BV77">
        <f>'Uncorrected Area Counts'!F79</f>
        <v>0</v>
      </c>
    </row>
    <row r="78" spans="1:74">
      <c r="A78" s="1">
        <v>77</v>
      </c>
      <c r="B78" s="1">
        <v>5</v>
      </c>
      <c r="C78" s="1">
        <v>7</v>
      </c>
      <c r="D78" s="1">
        <f>'Plate Planning'!$H$16</f>
        <v>0</v>
      </c>
      <c r="E78" s="1" t="str">
        <f>'Plate Planning'!$H$17</f>
        <v>LC-MS</v>
      </c>
      <c r="F78" s="1">
        <f>'Plate Planning'!$H$18</f>
        <v>500</v>
      </c>
      <c r="G78" s="1">
        <f>'Plate Planning'!$H$20</f>
        <v>25</v>
      </c>
      <c r="H78" s="1">
        <f>'Plate Planning'!$H$19</f>
        <v>24</v>
      </c>
      <c r="I78" s="1" t="b">
        <f>'Plate Planning'!$H$21</f>
        <v>1</v>
      </c>
      <c r="J78" s="1" t="str">
        <f>IF('Plate Planning'!$H$22=0, "NA",'Plate Planning'!$H$22)</f>
        <v>NA</v>
      </c>
      <c r="K78" s="1">
        <f>Reagents!$D$2</f>
        <v>0</v>
      </c>
      <c r="L78" s="1">
        <f>Reagents!$D$2</f>
        <v>0</v>
      </c>
      <c r="M78" s="1">
        <f>Reagents!$J$2</f>
        <v>0</v>
      </c>
      <c r="N78" s="1">
        <f>Reagents!$D$3</f>
        <v>0</v>
      </c>
      <c r="O78" s="1">
        <f>Reagents!$J$3</f>
        <v>0</v>
      </c>
      <c r="P78" s="1">
        <f>Reagents!$D$4</f>
        <v>0</v>
      </c>
      <c r="Q78" s="1">
        <f>Reagents!$J$4</f>
        <v>0</v>
      </c>
      <c r="R78" s="1">
        <f>Reagents!$D$5</f>
        <v>0</v>
      </c>
      <c r="S78" s="1">
        <f>Reagents!$J$5</f>
        <v>0</v>
      </c>
      <c r="T78" s="1">
        <f>Reagents!$D$6</f>
        <v>0</v>
      </c>
      <c r="U78" s="1">
        <f>Reagents!$J$6</f>
        <v>0</v>
      </c>
      <c r="V78" s="1">
        <f>Reagents!$D$7</f>
        <v>0</v>
      </c>
      <c r="W78" s="1">
        <f>Reagents!$J$7</f>
        <v>0</v>
      </c>
      <c r="X78" s="1">
        <f>Reagents!$D$8</f>
        <v>0</v>
      </c>
      <c r="Y78" s="1">
        <f>Reagents!$J$8</f>
        <v>0</v>
      </c>
      <c r="Z78" s="1">
        <f>Reagents!$D$9</f>
        <v>0</v>
      </c>
      <c r="AA78" s="1">
        <f>Reagents!$J$9</f>
        <v>0</v>
      </c>
      <c r="AB78" s="1">
        <f>Reagents!$D$10</f>
        <v>0</v>
      </c>
      <c r="AC78" s="1">
        <f>Reagents!$J$10</f>
        <v>0</v>
      </c>
      <c r="AD78" s="1">
        <f>Reagents!$D$11</f>
        <v>0</v>
      </c>
      <c r="AE78" s="1">
        <f>Reagents!$J$11</f>
        <v>0</v>
      </c>
      <c r="AF78" t="str">
        <f>Reagents!$C$16</f>
        <v>-</v>
      </c>
      <c r="AG78">
        <f>Reagents!$D$16</f>
        <v>0</v>
      </c>
      <c r="AH78">
        <f>Reagents!$J$16</f>
        <v>0</v>
      </c>
      <c r="AI78" t="str">
        <f>Reagents!$C$28</f>
        <v>-</v>
      </c>
      <c r="AJ78">
        <f>Reagents!$D$28</f>
        <v>0</v>
      </c>
      <c r="AK78">
        <f>Reagents!$J$28</f>
        <v>0</v>
      </c>
      <c r="AL78" t="str">
        <f>Reagents!$C$42</f>
        <v>-</v>
      </c>
      <c r="AM78">
        <f>Reagents!$D$42</f>
        <v>0</v>
      </c>
      <c r="AN78">
        <f>Reagents!$J$42</f>
        <v>0</v>
      </c>
      <c r="AO78" t="str">
        <f>Reagents!$C$50</f>
        <v>-</v>
      </c>
      <c r="AP78">
        <f>Reagents!$D$50</f>
        <v>0</v>
      </c>
      <c r="AQ78">
        <f>Reagents!$J$50</f>
        <v>0</v>
      </c>
      <c r="AR78">
        <f>'Plate Planning'!$K$18</f>
        <v>0</v>
      </c>
      <c r="AS78">
        <f>'Plate Planning'!$L$18</f>
        <v>0</v>
      </c>
      <c r="AT78">
        <f>'Uncorrected Area Counts'!G80</f>
        <v>0</v>
      </c>
      <c r="AU78" t="e">
        <f>Yields!E80</f>
        <v>#DIV/0!</v>
      </c>
      <c r="AV78">
        <f>'Plate Planning'!$K$19</f>
        <v>0</v>
      </c>
      <c r="AW78">
        <f>'Plate Planning'!$L$19</f>
        <v>0</v>
      </c>
      <c r="AX78">
        <f>'Uncorrected Area Counts'!H80</f>
        <v>0</v>
      </c>
      <c r="AY78" t="e">
        <f>Yields!F80</f>
        <v>#DIV/0!</v>
      </c>
      <c r="AZ78">
        <f>'Plate Planning'!$K$20</f>
        <v>0</v>
      </c>
      <c r="BA78">
        <f>'Plate Planning'!$L$20</f>
        <v>0</v>
      </c>
      <c r="BB78">
        <f>'Uncorrected Area Counts'!I80</f>
        <v>0</v>
      </c>
      <c r="BC78" t="e">
        <f>Yields!G80</f>
        <v>#DIV/0!</v>
      </c>
      <c r="BD78">
        <f>'Plate Planning'!$K$21</f>
        <v>0</v>
      </c>
      <c r="BE78">
        <f>'Plate Planning'!$L$21</f>
        <v>0</v>
      </c>
      <c r="BF78">
        <f>'Uncorrected Area Counts'!J80</f>
        <v>0</v>
      </c>
      <c r="BG78" t="e">
        <f>Yields!H80</f>
        <v>#DIV/0!</v>
      </c>
      <c r="BH78">
        <f>'Plate Planning'!$K$22</f>
        <v>0</v>
      </c>
      <c r="BI78">
        <f>'Plate Planning'!$L$22</f>
        <v>0</v>
      </c>
      <c r="BJ78">
        <f>'Uncorrected Area Counts'!K80</f>
        <v>0</v>
      </c>
      <c r="BK78" t="e">
        <f>Yields!I80</f>
        <v>#DIV/0!</v>
      </c>
      <c r="BL78">
        <f>'Plate Planning'!$K$23</f>
        <v>0</v>
      </c>
      <c r="BM78">
        <f>'Plate Planning'!$L$23</f>
        <v>0</v>
      </c>
      <c r="BN78">
        <f>'Uncorrected Area Counts'!L80</f>
        <v>0</v>
      </c>
      <c r="BO78" t="e">
        <f>Yields!J80</f>
        <v>#DIV/0!</v>
      </c>
      <c r="BP78">
        <f>'Plate Planning'!$K$24</f>
        <v>0</v>
      </c>
      <c r="BQ78">
        <f>'Plate Planning'!$L$24</f>
        <v>0</v>
      </c>
      <c r="BR78">
        <f>'Uncorrected Area Counts'!M80</f>
        <v>0</v>
      </c>
      <c r="BS78" t="e">
        <f>Yields!K80</f>
        <v>#DIV/0!</v>
      </c>
      <c r="BT78">
        <f>'Plate Planning'!$L$17</f>
        <v>0</v>
      </c>
      <c r="BU78">
        <f>'Plate Planning'!$M$17</f>
        <v>0</v>
      </c>
      <c r="BV78">
        <f>'Uncorrected Area Counts'!F80</f>
        <v>0</v>
      </c>
    </row>
    <row r="79" spans="1:74">
      <c r="A79" s="1">
        <v>78</v>
      </c>
      <c r="B79" s="1">
        <v>6</v>
      </c>
      <c r="C79" s="1">
        <v>7</v>
      </c>
      <c r="D79" s="1">
        <f>'Plate Planning'!$H$16</f>
        <v>0</v>
      </c>
      <c r="E79" s="1" t="str">
        <f>'Plate Planning'!$H$17</f>
        <v>LC-MS</v>
      </c>
      <c r="F79" s="1">
        <f>'Plate Planning'!$H$18</f>
        <v>500</v>
      </c>
      <c r="G79" s="1">
        <f>'Plate Planning'!$H$20</f>
        <v>25</v>
      </c>
      <c r="H79" s="1">
        <f>'Plate Planning'!$H$19</f>
        <v>24</v>
      </c>
      <c r="I79" s="1" t="b">
        <f>'Plate Planning'!$H$21</f>
        <v>1</v>
      </c>
      <c r="J79" s="1" t="str">
        <f>IF('Plate Planning'!$H$22=0, "NA",'Plate Planning'!$H$22)</f>
        <v>NA</v>
      </c>
      <c r="K79" s="1">
        <f>Reagents!$D$2</f>
        <v>0</v>
      </c>
      <c r="L79" s="1">
        <f>Reagents!$D$2</f>
        <v>0</v>
      </c>
      <c r="M79" s="1">
        <f>Reagents!$J$2</f>
        <v>0</v>
      </c>
      <c r="N79" s="1">
        <f>Reagents!$D$3</f>
        <v>0</v>
      </c>
      <c r="O79" s="1">
        <f>Reagents!$J$3</f>
        <v>0</v>
      </c>
      <c r="P79" s="1">
        <f>Reagents!$D$4</f>
        <v>0</v>
      </c>
      <c r="Q79" s="1">
        <f>Reagents!$J$4</f>
        <v>0</v>
      </c>
      <c r="R79" s="1">
        <f>Reagents!$D$5</f>
        <v>0</v>
      </c>
      <c r="S79" s="1">
        <f>Reagents!$J$5</f>
        <v>0</v>
      </c>
      <c r="T79" s="1">
        <f>Reagents!$D$6</f>
        <v>0</v>
      </c>
      <c r="U79" s="1">
        <f>Reagents!$J$6</f>
        <v>0</v>
      </c>
      <c r="V79" s="1">
        <f>Reagents!$D$7</f>
        <v>0</v>
      </c>
      <c r="W79" s="1">
        <f>Reagents!$J$7</f>
        <v>0</v>
      </c>
      <c r="X79" s="1">
        <f>Reagents!$D$8</f>
        <v>0</v>
      </c>
      <c r="Y79" s="1">
        <f>Reagents!$J$8</f>
        <v>0</v>
      </c>
      <c r="Z79" s="1">
        <f>Reagents!$D$9</f>
        <v>0</v>
      </c>
      <c r="AA79" s="1">
        <f>Reagents!$J$9</f>
        <v>0</v>
      </c>
      <c r="AB79" s="1">
        <f>Reagents!$D$10</f>
        <v>0</v>
      </c>
      <c r="AC79" s="1">
        <f>Reagents!$J$10</f>
        <v>0</v>
      </c>
      <c r="AD79" s="1">
        <f>Reagents!$D$11</f>
        <v>0</v>
      </c>
      <c r="AE79" s="1">
        <f>Reagents!$J$11</f>
        <v>0</v>
      </c>
      <c r="AF79" t="str">
        <f>Reagents!$C$17</f>
        <v>-</v>
      </c>
      <c r="AG79">
        <f>Reagents!$D$17</f>
        <v>0</v>
      </c>
      <c r="AH79">
        <f>Reagents!$J$17</f>
        <v>0</v>
      </c>
      <c r="AI79" t="str">
        <f>Reagents!$C$29</f>
        <v>-</v>
      </c>
      <c r="AJ79">
        <f>Reagents!$D$29</f>
        <v>0</v>
      </c>
      <c r="AK79">
        <f>Reagents!$J$29</f>
        <v>0</v>
      </c>
      <c r="AL79" t="str">
        <f>Reagents!$C$42</f>
        <v>-</v>
      </c>
      <c r="AM79">
        <f>Reagents!$D$42</f>
        <v>0</v>
      </c>
      <c r="AN79">
        <f>Reagents!$J$42</f>
        <v>0</v>
      </c>
      <c r="AO79" t="str">
        <f>Reagents!$C$50</f>
        <v>-</v>
      </c>
      <c r="AP79">
        <f>Reagents!$D$50</f>
        <v>0</v>
      </c>
      <c r="AQ79">
        <f>Reagents!$J$50</f>
        <v>0</v>
      </c>
      <c r="AR79">
        <f>'Plate Planning'!$K$18</f>
        <v>0</v>
      </c>
      <c r="AS79">
        <f>'Plate Planning'!$L$18</f>
        <v>0</v>
      </c>
      <c r="AT79">
        <f>'Uncorrected Area Counts'!G81</f>
        <v>0</v>
      </c>
      <c r="AU79" t="e">
        <f>Yields!E81</f>
        <v>#DIV/0!</v>
      </c>
      <c r="AV79">
        <f>'Plate Planning'!$K$19</f>
        <v>0</v>
      </c>
      <c r="AW79">
        <f>'Plate Planning'!$L$19</f>
        <v>0</v>
      </c>
      <c r="AX79">
        <f>'Uncorrected Area Counts'!H81</f>
        <v>0</v>
      </c>
      <c r="AY79" t="e">
        <f>Yields!F81</f>
        <v>#DIV/0!</v>
      </c>
      <c r="AZ79">
        <f>'Plate Planning'!$K$20</f>
        <v>0</v>
      </c>
      <c r="BA79">
        <f>'Plate Planning'!$L$20</f>
        <v>0</v>
      </c>
      <c r="BB79">
        <f>'Uncorrected Area Counts'!I81</f>
        <v>0</v>
      </c>
      <c r="BC79" t="e">
        <f>Yields!G81</f>
        <v>#DIV/0!</v>
      </c>
      <c r="BD79">
        <f>'Plate Planning'!$K$21</f>
        <v>0</v>
      </c>
      <c r="BE79">
        <f>'Plate Planning'!$L$21</f>
        <v>0</v>
      </c>
      <c r="BF79">
        <f>'Uncorrected Area Counts'!J81</f>
        <v>0</v>
      </c>
      <c r="BG79" t="e">
        <f>Yields!H81</f>
        <v>#DIV/0!</v>
      </c>
      <c r="BH79">
        <f>'Plate Planning'!$K$22</f>
        <v>0</v>
      </c>
      <c r="BI79">
        <f>'Plate Planning'!$L$22</f>
        <v>0</v>
      </c>
      <c r="BJ79">
        <f>'Uncorrected Area Counts'!K81</f>
        <v>0</v>
      </c>
      <c r="BK79" t="e">
        <f>Yields!I81</f>
        <v>#DIV/0!</v>
      </c>
      <c r="BL79">
        <f>'Plate Planning'!$K$23</f>
        <v>0</v>
      </c>
      <c r="BM79">
        <f>'Plate Planning'!$L$23</f>
        <v>0</v>
      </c>
      <c r="BN79">
        <f>'Uncorrected Area Counts'!L81</f>
        <v>0</v>
      </c>
      <c r="BO79" t="e">
        <f>Yields!J81</f>
        <v>#DIV/0!</v>
      </c>
      <c r="BP79">
        <f>'Plate Planning'!$K$24</f>
        <v>0</v>
      </c>
      <c r="BQ79">
        <f>'Plate Planning'!$L$24</f>
        <v>0</v>
      </c>
      <c r="BR79">
        <f>'Uncorrected Area Counts'!M81</f>
        <v>0</v>
      </c>
      <c r="BS79" t="e">
        <f>Yields!K81</f>
        <v>#DIV/0!</v>
      </c>
      <c r="BT79">
        <f>'Plate Planning'!$L$17</f>
        <v>0</v>
      </c>
      <c r="BU79">
        <f>'Plate Planning'!$M$17</f>
        <v>0</v>
      </c>
      <c r="BV79">
        <f>'Uncorrected Area Counts'!F81</f>
        <v>0</v>
      </c>
    </row>
    <row r="80" spans="1:74">
      <c r="A80" s="1">
        <v>79</v>
      </c>
      <c r="B80" s="1">
        <v>7</v>
      </c>
      <c r="C80" s="1">
        <v>7</v>
      </c>
      <c r="D80" s="1">
        <f>'Plate Planning'!$H$16</f>
        <v>0</v>
      </c>
      <c r="E80" s="1" t="str">
        <f>'Plate Planning'!$H$17</f>
        <v>LC-MS</v>
      </c>
      <c r="F80" s="1">
        <f>'Plate Planning'!$H$18</f>
        <v>500</v>
      </c>
      <c r="G80" s="1">
        <f>'Plate Planning'!$H$20</f>
        <v>25</v>
      </c>
      <c r="H80" s="1">
        <f>'Plate Planning'!$H$19</f>
        <v>24</v>
      </c>
      <c r="I80" s="1" t="b">
        <f>'Plate Planning'!$H$21</f>
        <v>1</v>
      </c>
      <c r="J80" s="1" t="str">
        <f>IF('Plate Planning'!$H$22=0, "NA",'Plate Planning'!$H$22)</f>
        <v>NA</v>
      </c>
      <c r="K80" s="1">
        <f>Reagents!$D$2</f>
        <v>0</v>
      </c>
      <c r="L80" s="1">
        <f>Reagents!$D$2</f>
        <v>0</v>
      </c>
      <c r="M80" s="1">
        <f>Reagents!$J$2</f>
        <v>0</v>
      </c>
      <c r="N80" s="1">
        <f>Reagents!$D$3</f>
        <v>0</v>
      </c>
      <c r="O80" s="1">
        <f>Reagents!$J$3</f>
        <v>0</v>
      </c>
      <c r="P80" s="1">
        <f>Reagents!$D$4</f>
        <v>0</v>
      </c>
      <c r="Q80" s="1">
        <f>Reagents!$J$4</f>
        <v>0</v>
      </c>
      <c r="R80" s="1">
        <f>Reagents!$D$5</f>
        <v>0</v>
      </c>
      <c r="S80" s="1">
        <f>Reagents!$J$5</f>
        <v>0</v>
      </c>
      <c r="T80" s="1">
        <f>Reagents!$D$6</f>
        <v>0</v>
      </c>
      <c r="U80" s="1">
        <f>Reagents!$J$6</f>
        <v>0</v>
      </c>
      <c r="V80" s="1">
        <f>Reagents!$D$7</f>
        <v>0</v>
      </c>
      <c r="W80" s="1">
        <f>Reagents!$J$7</f>
        <v>0</v>
      </c>
      <c r="X80" s="1">
        <f>Reagents!$D$8</f>
        <v>0</v>
      </c>
      <c r="Y80" s="1">
        <f>Reagents!$J$8</f>
        <v>0</v>
      </c>
      <c r="Z80" s="1">
        <f>Reagents!$D$9</f>
        <v>0</v>
      </c>
      <c r="AA80" s="1">
        <f>Reagents!$J$9</f>
        <v>0</v>
      </c>
      <c r="AB80" s="1">
        <f>Reagents!$D$10</f>
        <v>0</v>
      </c>
      <c r="AC80" s="1">
        <f>Reagents!$J$10</f>
        <v>0</v>
      </c>
      <c r="AD80" s="1">
        <f>Reagents!$D$11</f>
        <v>0</v>
      </c>
      <c r="AE80" s="1">
        <f>Reagents!$J$11</f>
        <v>0</v>
      </c>
      <c r="AF80" t="str">
        <f>Reagents!$C$18</f>
        <v>-</v>
      </c>
      <c r="AG80">
        <f>Reagents!$D$18</f>
        <v>0</v>
      </c>
      <c r="AH80">
        <f>Reagents!$J$18</f>
        <v>0</v>
      </c>
      <c r="AI80" t="str">
        <f>Reagents!$C$30</f>
        <v>-</v>
      </c>
      <c r="AJ80">
        <f>Reagents!$D$30</f>
        <v>0</v>
      </c>
      <c r="AK80">
        <f>Reagents!$J$30</f>
        <v>0</v>
      </c>
      <c r="AL80" t="str">
        <f>Reagents!$C$42</f>
        <v>-</v>
      </c>
      <c r="AM80">
        <f>Reagents!$D$42</f>
        <v>0</v>
      </c>
      <c r="AN80">
        <f>Reagents!$J$42</f>
        <v>0</v>
      </c>
      <c r="AO80" t="str">
        <f>Reagents!$C$50</f>
        <v>-</v>
      </c>
      <c r="AP80">
        <f>Reagents!$D$50</f>
        <v>0</v>
      </c>
      <c r="AQ80">
        <f>Reagents!$J$50</f>
        <v>0</v>
      </c>
      <c r="AR80">
        <f>'Plate Planning'!$K$18</f>
        <v>0</v>
      </c>
      <c r="AS80">
        <f>'Plate Planning'!$L$18</f>
        <v>0</v>
      </c>
      <c r="AT80">
        <f>'Uncorrected Area Counts'!G82</f>
        <v>0</v>
      </c>
      <c r="AU80" t="e">
        <f>Yields!E82</f>
        <v>#DIV/0!</v>
      </c>
      <c r="AV80">
        <f>'Plate Planning'!$K$19</f>
        <v>0</v>
      </c>
      <c r="AW80">
        <f>'Plate Planning'!$L$19</f>
        <v>0</v>
      </c>
      <c r="AX80">
        <f>'Uncorrected Area Counts'!H82</f>
        <v>0</v>
      </c>
      <c r="AY80" t="e">
        <f>Yields!F82</f>
        <v>#DIV/0!</v>
      </c>
      <c r="AZ80">
        <f>'Plate Planning'!$K$20</f>
        <v>0</v>
      </c>
      <c r="BA80">
        <f>'Plate Planning'!$L$20</f>
        <v>0</v>
      </c>
      <c r="BB80">
        <f>'Uncorrected Area Counts'!I82</f>
        <v>0</v>
      </c>
      <c r="BC80" t="e">
        <f>Yields!G82</f>
        <v>#DIV/0!</v>
      </c>
      <c r="BD80">
        <f>'Plate Planning'!$K$21</f>
        <v>0</v>
      </c>
      <c r="BE80">
        <f>'Plate Planning'!$L$21</f>
        <v>0</v>
      </c>
      <c r="BF80">
        <f>'Uncorrected Area Counts'!J82</f>
        <v>0</v>
      </c>
      <c r="BG80" t="e">
        <f>Yields!H82</f>
        <v>#DIV/0!</v>
      </c>
      <c r="BH80">
        <f>'Plate Planning'!$K$22</f>
        <v>0</v>
      </c>
      <c r="BI80">
        <f>'Plate Planning'!$L$22</f>
        <v>0</v>
      </c>
      <c r="BJ80">
        <f>'Uncorrected Area Counts'!K82</f>
        <v>0</v>
      </c>
      <c r="BK80" t="e">
        <f>Yields!I82</f>
        <v>#DIV/0!</v>
      </c>
      <c r="BL80">
        <f>'Plate Planning'!$K$23</f>
        <v>0</v>
      </c>
      <c r="BM80">
        <f>'Plate Planning'!$L$23</f>
        <v>0</v>
      </c>
      <c r="BN80">
        <f>'Uncorrected Area Counts'!L82</f>
        <v>0</v>
      </c>
      <c r="BO80" t="e">
        <f>Yields!J82</f>
        <v>#DIV/0!</v>
      </c>
      <c r="BP80">
        <f>'Plate Planning'!$K$24</f>
        <v>0</v>
      </c>
      <c r="BQ80">
        <f>'Plate Planning'!$L$24</f>
        <v>0</v>
      </c>
      <c r="BR80">
        <f>'Uncorrected Area Counts'!M82</f>
        <v>0</v>
      </c>
      <c r="BS80" t="e">
        <f>Yields!K82</f>
        <v>#DIV/0!</v>
      </c>
      <c r="BT80">
        <f>'Plate Planning'!$L$17</f>
        <v>0</v>
      </c>
      <c r="BU80">
        <f>'Plate Planning'!$M$17</f>
        <v>0</v>
      </c>
      <c r="BV80">
        <f>'Uncorrected Area Counts'!F82</f>
        <v>0</v>
      </c>
    </row>
    <row r="81" spans="1:74">
      <c r="A81" s="1">
        <v>80</v>
      </c>
      <c r="B81" s="1">
        <v>8</v>
      </c>
      <c r="C81" s="1">
        <v>7</v>
      </c>
      <c r="D81" s="1">
        <f>'Plate Planning'!$H$16</f>
        <v>0</v>
      </c>
      <c r="E81" s="1" t="str">
        <f>'Plate Planning'!$H$17</f>
        <v>LC-MS</v>
      </c>
      <c r="F81" s="1">
        <f>'Plate Planning'!$H$18</f>
        <v>500</v>
      </c>
      <c r="G81" s="1">
        <f>'Plate Planning'!$H$20</f>
        <v>25</v>
      </c>
      <c r="H81" s="1">
        <f>'Plate Planning'!$H$19</f>
        <v>24</v>
      </c>
      <c r="I81" s="1" t="b">
        <f>'Plate Planning'!$H$21</f>
        <v>1</v>
      </c>
      <c r="J81" s="1" t="str">
        <f>IF('Plate Planning'!$H$22=0, "NA",'Plate Planning'!$H$22)</f>
        <v>NA</v>
      </c>
      <c r="K81" s="1">
        <f>Reagents!$D$2</f>
        <v>0</v>
      </c>
      <c r="L81" s="1">
        <f>Reagents!$D$2</f>
        <v>0</v>
      </c>
      <c r="M81" s="1">
        <f>Reagents!$J$2</f>
        <v>0</v>
      </c>
      <c r="N81" s="1">
        <f>Reagents!$D$3</f>
        <v>0</v>
      </c>
      <c r="O81" s="1">
        <f>Reagents!$J$3</f>
        <v>0</v>
      </c>
      <c r="P81" s="1">
        <f>Reagents!$D$4</f>
        <v>0</v>
      </c>
      <c r="Q81" s="1">
        <f>Reagents!$J$4</f>
        <v>0</v>
      </c>
      <c r="R81" s="1">
        <f>Reagents!$D$5</f>
        <v>0</v>
      </c>
      <c r="S81" s="1">
        <f>Reagents!$J$5</f>
        <v>0</v>
      </c>
      <c r="T81" s="1">
        <f>Reagents!$D$6</f>
        <v>0</v>
      </c>
      <c r="U81" s="1">
        <f>Reagents!$J$6</f>
        <v>0</v>
      </c>
      <c r="V81" s="1">
        <f>Reagents!$D$7</f>
        <v>0</v>
      </c>
      <c r="W81" s="1">
        <f>Reagents!$J$7</f>
        <v>0</v>
      </c>
      <c r="X81" s="1">
        <f>Reagents!$D$8</f>
        <v>0</v>
      </c>
      <c r="Y81" s="1">
        <f>Reagents!$J$8</f>
        <v>0</v>
      </c>
      <c r="Z81" s="1">
        <f>Reagents!$D$9</f>
        <v>0</v>
      </c>
      <c r="AA81" s="1">
        <f>Reagents!$J$9</f>
        <v>0</v>
      </c>
      <c r="AB81" s="1">
        <f>Reagents!$D$10</f>
        <v>0</v>
      </c>
      <c r="AC81" s="1">
        <f>Reagents!$J$10</f>
        <v>0</v>
      </c>
      <c r="AD81" s="1">
        <f>Reagents!$D$11</f>
        <v>0</v>
      </c>
      <c r="AE81" s="1">
        <f>Reagents!$J$11</f>
        <v>0</v>
      </c>
      <c r="AF81" t="str">
        <f>Reagents!$C$19</f>
        <v>-</v>
      </c>
      <c r="AG81">
        <f>Reagents!$D$19</f>
        <v>0</v>
      </c>
      <c r="AH81">
        <f>Reagents!$J$19</f>
        <v>0</v>
      </c>
      <c r="AI81" t="str">
        <f>Reagents!$C$31</f>
        <v>-</v>
      </c>
      <c r="AJ81">
        <f>Reagents!$D$31</f>
        <v>0</v>
      </c>
      <c r="AK81">
        <f>Reagents!$J$31</f>
        <v>0</v>
      </c>
      <c r="AL81" t="str">
        <f>Reagents!$C$42</f>
        <v>-</v>
      </c>
      <c r="AM81">
        <f>Reagents!$D$42</f>
        <v>0</v>
      </c>
      <c r="AN81">
        <f>Reagents!$J$42</f>
        <v>0</v>
      </c>
      <c r="AO81" t="str">
        <f>Reagents!$C$50</f>
        <v>-</v>
      </c>
      <c r="AP81">
        <f>Reagents!$D$50</f>
        <v>0</v>
      </c>
      <c r="AQ81">
        <f>Reagents!$J$50</f>
        <v>0</v>
      </c>
      <c r="AR81">
        <f>'Plate Planning'!$K$18</f>
        <v>0</v>
      </c>
      <c r="AS81">
        <f>'Plate Planning'!$L$18</f>
        <v>0</v>
      </c>
      <c r="AT81">
        <f>'Uncorrected Area Counts'!G83</f>
        <v>0</v>
      </c>
      <c r="AU81" t="e">
        <f>Yields!E83</f>
        <v>#DIV/0!</v>
      </c>
      <c r="AV81">
        <f>'Plate Planning'!$K$19</f>
        <v>0</v>
      </c>
      <c r="AW81">
        <f>'Plate Planning'!$L$19</f>
        <v>0</v>
      </c>
      <c r="AX81">
        <f>'Uncorrected Area Counts'!H83</f>
        <v>0</v>
      </c>
      <c r="AY81" t="e">
        <f>Yields!F83</f>
        <v>#DIV/0!</v>
      </c>
      <c r="AZ81">
        <f>'Plate Planning'!$K$20</f>
        <v>0</v>
      </c>
      <c r="BA81">
        <f>'Plate Planning'!$L$20</f>
        <v>0</v>
      </c>
      <c r="BB81">
        <f>'Uncorrected Area Counts'!I83</f>
        <v>0</v>
      </c>
      <c r="BC81" t="e">
        <f>Yields!G83</f>
        <v>#DIV/0!</v>
      </c>
      <c r="BD81">
        <f>'Plate Planning'!$K$21</f>
        <v>0</v>
      </c>
      <c r="BE81">
        <f>'Plate Planning'!$L$21</f>
        <v>0</v>
      </c>
      <c r="BF81">
        <f>'Uncorrected Area Counts'!J83</f>
        <v>0</v>
      </c>
      <c r="BG81" t="e">
        <f>Yields!H83</f>
        <v>#DIV/0!</v>
      </c>
      <c r="BH81">
        <f>'Plate Planning'!$K$22</f>
        <v>0</v>
      </c>
      <c r="BI81">
        <f>'Plate Planning'!$L$22</f>
        <v>0</v>
      </c>
      <c r="BJ81">
        <f>'Uncorrected Area Counts'!K83</f>
        <v>0</v>
      </c>
      <c r="BK81" t="e">
        <f>Yields!I83</f>
        <v>#DIV/0!</v>
      </c>
      <c r="BL81">
        <f>'Plate Planning'!$K$23</f>
        <v>0</v>
      </c>
      <c r="BM81">
        <f>'Plate Planning'!$L$23</f>
        <v>0</v>
      </c>
      <c r="BN81">
        <f>'Uncorrected Area Counts'!L83</f>
        <v>0</v>
      </c>
      <c r="BO81" t="e">
        <f>Yields!J83</f>
        <v>#DIV/0!</v>
      </c>
      <c r="BP81">
        <f>'Plate Planning'!$K$24</f>
        <v>0</v>
      </c>
      <c r="BQ81">
        <f>'Plate Planning'!$L$24</f>
        <v>0</v>
      </c>
      <c r="BR81">
        <f>'Uncorrected Area Counts'!M83</f>
        <v>0</v>
      </c>
      <c r="BS81" t="e">
        <f>Yields!K83</f>
        <v>#DIV/0!</v>
      </c>
      <c r="BT81">
        <f>'Plate Planning'!$L$17</f>
        <v>0</v>
      </c>
      <c r="BU81">
        <f>'Plate Planning'!$M$17</f>
        <v>0</v>
      </c>
      <c r="BV81">
        <f>'Uncorrected Area Counts'!F83</f>
        <v>0</v>
      </c>
    </row>
    <row r="82" spans="1:74">
      <c r="A82" s="1">
        <v>81</v>
      </c>
      <c r="B82" s="1">
        <v>9</v>
      </c>
      <c r="C82" s="1">
        <v>7</v>
      </c>
      <c r="D82" s="1">
        <f>'Plate Planning'!$H$16</f>
        <v>0</v>
      </c>
      <c r="E82" s="1" t="str">
        <f>'Plate Planning'!$H$17</f>
        <v>LC-MS</v>
      </c>
      <c r="F82" s="1">
        <f>'Plate Planning'!$H$18</f>
        <v>500</v>
      </c>
      <c r="G82" s="1">
        <f>'Plate Planning'!$H$20</f>
        <v>25</v>
      </c>
      <c r="H82" s="1">
        <f>'Plate Planning'!$H$19</f>
        <v>24</v>
      </c>
      <c r="I82" s="1" t="b">
        <f>'Plate Planning'!$H$21</f>
        <v>1</v>
      </c>
      <c r="J82" s="1" t="str">
        <f>IF('Plate Planning'!$H$22=0, "NA",'Plate Planning'!$H$22)</f>
        <v>NA</v>
      </c>
      <c r="K82" s="1">
        <f>Reagents!$D$2</f>
        <v>0</v>
      </c>
      <c r="L82" s="1">
        <f>Reagents!$D$2</f>
        <v>0</v>
      </c>
      <c r="M82" s="1">
        <f>Reagents!$J$2</f>
        <v>0</v>
      </c>
      <c r="N82" s="1">
        <f>Reagents!$D$3</f>
        <v>0</v>
      </c>
      <c r="O82" s="1">
        <f>Reagents!$J$3</f>
        <v>0</v>
      </c>
      <c r="P82" s="1">
        <f>Reagents!$D$4</f>
        <v>0</v>
      </c>
      <c r="Q82" s="1">
        <f>Reagents!$J$4</f>
        <v>0</v>
      </c>
      <c r="R82" s="1">
        <f>Reagents!$D$5</f>
        <v>0</v>
      </c>
      <c r="S82" s="1">
        <f>Reagents!$J$5</f>
        <v>0</v>
      </c>
      <c r="T82" s="1">
        <f>Reagents!$D$6</f>
        <v>0</v>
      </c>
      <c r="U82" s="1">
        <f>Reagents!$J$6</f>
        <v>0</v>
      </c>
      <c r="V82" s="1">
        <f>Reagents!$D$7</f>
        <v>0</v>
      </c>
      <c r="W82" s="1">
        <f>Reagents!$J$7</f>
        <v>0</v>
      </c>
      <c r="X82" s="1">
        <f>Reagents!$D$8</f>
        <v>0</v>
      </c>
      <c r="Y82" s="1">
        <f>Reagents!$J$8</f>
        <v>0</v>
      </c>
      <c r="Z82" s="1">
        <f>Reagents!$D$9</f>
        <v>0</v>
      </c>
      <c r="AA82" s="1">
        <f>Reagents!$J$9</f>
        <v>0</v>
      </c>
      <c r="AB82" s="1">
        <f>Reagents!$D$10</f>
        <v>0</v>
      </c>
      <c r="AC82" s="1">
        <f>Reagents!$J$10</f>
        <v>0</v>
      </c>
      <c r="AD82" s="1">
        <f>Reagents!$D$11</f>
        <v>0</v>
      </c>
      <c r="AE82" s="1">
        <f>Reagents!$J$11</f>
        <v>0</v>
      </c>
      <c r="AF82" t="str">
        <f>Reagents!$C$20</f>
        <v>-</v>
      </c>
      <c r="AG82">
        <f>Reagents!$D$20</f>
        <v>0</v>
      </c>
      <c r="AH82">
        <f>Reagents!$J$20</f>
        <v>0</v>
      </c>
      <c r="AI82" t="str">
        <f>Reagents!$C$32</f>
        <v>-</v>
      </c>
      <c r="AJ82">
        <f>Reagents!$D$32</f>
        <v>0</v>
      </c>
      <c r="AK82">
        <f>Reagents!$J$32</f>
        <v>0</v>
      </c>
      <c r="AL82" t="str">
        <f>Reagents!$C$42</f>
        <v>-</v>
      </c>
      <c r="AM82">
        <f>Reagents!$D$42</f>
        <v>0</v>
      </c>
      <c r="AN82">
        <f>Reagents!$J$42</f>
        <v>0</v>
      </c>
      <c r="AO82" t="str">
        <f>Reagents!$C$50</f>
        <v>-</v>
      </c>
      <c r="AP82">
        <f>Reagents!$D$50</f>
        <v>0</v>
      </c>
      <c r="AQ82">
        <f>Reagents!$J$50</f>
        <v>0</v>
      </c>
      <c r="AR82">
        <f>'Plate Planning'!$K$18</f>
        <v>0</v>
      </c>
      <c r="AS82">
        <f>'Plate Planning'!$L$18</f>
        <v>0</v>
      </c>
      <c r="AT82">
        <f>'Uncorrected Area Counts'!G84</f>
        <v>0</v>
      </c>
      <c r="AU82" t="e">
        <f>Yields!E84</f>
        <v>#DIV/0!</v>
      </c>
      <c r="AV82">
        <f>'Plate Planning'!$K$19</f>
        <v>0</v>
      </c>
      <c r="AW82">
        <f>'Plate Planning'!$L$19</f>
        <v>0</v>
      </c>
      <c r="AX82">
        <f>'Uncorrected Area Counts'!H84</f>
        <v>0</v>
      </c>
      <c r="AY82" t="e">
        <f>Yields!F84</f>
        <v>#DIV/0!</v>
      </c>
      <c r="AZ82">
        <f>'Plate Planning'!$K$20</f>
        <v>0</v>
      </c>
      <c r="BA82">
        <f>'Plate Planning'!$L$20</f>
        <v>0</v>
      </c>
      <c r="BB82">
        <f>'Uncorrected Area Counts'!I84</f>
        <v>0</v>
      </c>
      <c r="BC82" t="e">
        <f>Yields!G84</f>
        <v>#DIV/0!</v>
      </c>
      <c r="BD82">
        <f>'Plate Planning'!$K$21</f>
        <v>0</v>
      </c>
      <c r="BE82">
        <f>'Plate Planning'!$L$21</f>
        <v>0</v>
      </c>
      <c r="BF82">
        <f>'Uncorrected Area Counts'!J84</f>
        <v>0</v>
      </c>
      <c r="BG82" t="e">
        <f>Yields!H84</f>
        <v>#DIV/0!</v>
      </c>
      <c r="BH82">
        <f>'Plate Planning'!$K$22</f>
        <v>0</v>
      </c>
      <c r="BI82">
        <f>'Plate Planning'!$L$22</f>
        <v>0</v>
      </c>
      <c r="BJ82">
        <f>'Uncorrected Area Counts'!K84</f>
        <v>0</v>
      </c>
      <c r="BK82" t="e">
        <f>Yields!I84</f>
        <v>#DIV/0!</v>
      </c>
      <c r="BL82">
        <f>'Plate Planning'!$K$23</f>
        <v>0</v>
      </c>
      <c r="BM82">
        <f>'Plate Planning'!$L$23</f>
        <v>0</v>
      </c>
      <c r="BN82">
        <f>'Uncorrected Area Counts'!L84</f>
        <v>0</v>
      </c>
      <c r="BO82" t="e">
        <f>Yields!J84</f>
        <v>#DIV/0!</v>
      </c>
      <c r="BP82">
        <f>'Plate Planning'!$K$24</f>
        <v>0</v>
      </c>
      <c r="BQ82">
        <f>'Plate Planning'!$L$24</f>
        <v>0</v>
      </c>
      <c r="BR82">
        <f>'Uncorrected Area Counts'!M84</f>
        <v>0</v>
      </c>
      <c r="BS82" t="e">
        <f>Yields!K84</f>
        <v>#DIV/0!</v>
      </c>
      <c r="BT82">
        <f>'Plate Planning'!$L$17</f>
        <v>0</v>
      </c>
      <c r="BU82">
        <f>'Plate Planning'!$M$17</f>
        <v>0</v>
      </c>
      <c r="BV82">
        <f>'Uncorrected Area Counts'!F84</f>
        <v>0</v>
      </c>
    </row>
    <row r="83" spans="1:74">
      <c r="A83" s="1">
        <v>82</v>
      </c>
      <c r="B83" s="1">
        <v>10</v>
      </c>
      <c r="C83" s="1">
        <v>7</v>
      </c>
      <c r="D83" s="1">
        <f>'Plate Planning'!$H$16</f>
        <v>0</v>
      </c>
      <c r="E83" s="1" t="str">
        <f>'Plate Planning'!$H$17</f>
        <v>LC-MS</v>
      </c>
      <c r="F83" s="1">
        <f>'Plate Planning'!$H$18</f>
        <v>500</v>
      </c>
      <c r="G83" s="1">
        <f>'Plate Planning'!$H$20</f>
        <v>25</v>
      </c>
      <c r="H83" s="1">
        <f>'Plate Planning'!$H$19</f>
        <v>24</v>
      </c>
      <c r="I83" s="1" t="b">
        <f>'Plate Planning'!$H$21</f>
        <v>1</v>
      </c>
      <c r="J83" s="1" t="str">
        <f>IF('Plate Planning'!$H$22=0, "NA",'Plate Planning'!$H$22)</f>
        <v>NA</v>
      </c>
      <c r="K83" s="1">
        <f>Reagents!$D$2</f>
        <v>0</v>
      </c>
      <c r="L83" s="1">
        <f>Reagents!$D$2</f>
        <v>0</v>
      </c>
      <c r="M83" s="1">
        <f>Reagents!$J$2</f>
        <v>0</v>
      </c>
      <c r="N83" s="1">
        <f>Reagents!$D$3</f>
        <v>0</v>
      </c>
      <c r="O83" s="1">
        <f>Reagents!$J$3</f>
        <v>0</v>
      </c>
      <c r="P83" s="1">
        <f>Reagents!$D$4</f>
        <v>0</v>
      </c>
      <c r="Q83" s="1">
        <f>Reagents!$J$4</f>
        <v>0</v>
      </c>
      <c r="R83" s="1">
        <f>Reagents!$D$5</f>
        <v>0</v>
      </c>
      <c r="S83" s="1">
        <f>Reagents!$J$5</f>
        <v>0</v>
      </c>
      <c r="T83" s="1">
        <f>Reagents!$D$6</f>
        <v>0</v>
      </c>
      <c r="U83" s="1">
        <f>Reagents!$J$6</f>
        <v>0</v>
      </c>
      <c r="V83" s="1">
        <f>Reagents!$D$7</f>
        <v>0</v>
      </c>
      <c r="W83" s="1">
        <f>Reagents!$J$7</f>
        <v>0</v>
      </c>
      <c r="X83" s="1">
        <f>Reagents!$D$8</f>
        <v>0</v>
      </c>
      <c r="Y83" s="1">
        <f>Reagents!$J$8</f>
        <v>0</v>
      </c>
      <c r="Z83" s="1">
        <f>Reagents!$D$9</f>
        <v>0</v>
      </c>
      <c r="AA83" s="1">
        <f>Reagents!$J$9</f>
        <v>0</v>
      </c>
      <c r="AB83" s="1">
        <f>Reagents!$D$10</f>
        <v>0</v>
      </c>
      <c r="AC83" s="1">
        <f>Reagents!$J$10</f>
        <v>0</v>
      </c>
      <c r="AD83" s="1">
        <f>Reagents!$D$11</f>
        <v>0</v>
      </c>
      <c r="AE83" s="1">
        <f>Reagents!$J$11</f>
        <v>0</v>
      </c>
      <c r="AF83" t="str">
        <f>Reagents!$C$21</f>
        <v>-</v>
      </c>
      <c r="AG83">
        <f>Reagents!$D$21</f>
        <v>0</v>
      </c>
      <c r="AH83">
        <f>Reagents!$J$21</f>
        <v>0</v>
      </c>
      <c r="AI83" t="str">
        <f>Reagents!$C$33</f>
        <v>-</v>
      </c>
      <c r="AJ83">
        <f>Reagents!$D$33</f>
        <v>0</v>
      </c>
      <c r="AK83">
        <f>Reagents!$J$33</f>
        <v>0</v>
      </c>
      <c r="AL83" t="str">
        <f>Reagents!$C$42</f>
        <v>-</v>
      </c>
      <c r="AM83">
        <f>Reagents!$D$42</f>
        <v>0</v>
      </c>
      <c r="AN83">
        <f>Reagents!$J$42</f>
        <v>0</v>
      </c>
      <c r="AO83" t="str">
        <f>Reagents!$C$50</f>
        <v>-</v>
      </c>
      <c r="AP83">
        <f>Reagents!$D$50</f>
        <v>0</v>
      </c>
      <c r="AQ83">
        <f>Reagents!$J$50</f>
        <v>0</v>
      </c>
      <c r="AR83">
        <f>'Plate Planning'!$K$18</f>
        <v>0</v>
      </c>
      <c r="AS83">
        <f>'Plate Planning'!$L$18</f>
        <v>0</v>
      </c>
      <c r="AT83">
        <f>'Uncorrected Area Counts'!G85</f>
        <v>0</v>
      </c>
      <c r="AU83" t="e">
        <f>Yields!E85</f>
        <v>#DIV/0!</v>
      </c>
      <c r="AV83">
        <f>'Plate Planning'!$K$19</f>
        <v>0</v>
      </c>
      <c r="AW83">
        <f>'Plate Planning'!$L$19</f>
        <v>0</v>
      </c>
      <c r="AX83">
        <f>'Uncorrected Area Counts'!H85</f>
        <v>0</v>
      </c>
      <c r="AY83" t="e">
        <f>Yields!F85</f>
        <v>#DIV/0!</v>
      </c>
      <c r="AZ83">
        <f>'Plate Planning'!$K$20</f>
        <v>0</v>
      </c>
      <c r="BA83">
        <f>'Plate Planning'!$L$20</f>
        <v>0</v>
      </c>
      <c r="BB83">
        <f>'Uncorrected Area Counts'!I85</f>
        <v>0</v>
      </c>
      <c r="BC83" t="e">
        <f>Yields!G85</f>
        <v>#DIV/0!</v>
      </c>
      <c r="BD83">
        <f>'Plate Planning'!$K$21</f>
        <v>0</v>
      </c>
      <c r="BE83">
        <f>'Plate Planning'!$L$21</f>
        <v>0</v>
      </c>
      <c r="BF83">
        <f>'Uncorrected Area Counts'!J85</f>
        <v>0</v>
      </c>
      <c r="BG83" t="e">
        <f>Yields!H85</f>
        <v>#DIV/0!</v>
      </c>
      <c r="BH83">
        <f>'Plate Planning'!$K$22</f>
        <v>0</v>
      </c>
      <c r="BI83">
        <f>'Plate Planning'!$L$22</f>
        <v>0</v>
      </c>
      <c r="BJ83">
        <f>'Uncorrected Area Counts'!K85</f>
        <v>0</v>
      </c>
      <c r="BK83" t="e">
        <f>Yields!I85</f>
        <v>#DIV/0!</v>
      </c>
      <c r="BL83">
        <f>'Plate Planning'!$K$23</f>
        <v>0</v>
      </c>
      <c r="BM83">
        <f>'Plate Planning'!$L$23</f>
        <v>0</v>
      </c>
      <c r="BN83">
        <f>'Uncorrected Area Counts'!L85</f>
        <v>0</v>
      </c>
      <c r="BO83" t="e">
        <f>Yields!J85</f>
        <v>#DIV/0!</v>
      </c>
      <c r="BP83">
        <f>'Plate Planning'!$K$24</f>
        <v>0</v>
      </c>
      <c r="BQ83">
        <f>'Plate Planning'!$L$24</f>
        <v>0</v>
      </c>
      <c r="BR83">
        <f>'Uncorrected Area Counts'!M85</f>
        <v>0</v>
      </c>
      <c r="BS83" t="e">
        <f>Yields!K85</f>
        <v>#DIV/0!</v>
      </c>
      <c r="BT83">
        <f>'Plate Planning'!$L$17</f>
        <v>0</v>
      </c>
      <c r="BU83">
        <f>'Plate Planning'!$M$17</f>
        <v>0</v>
      </c>
      <c r="BV83">
        <f>'Uncorrected Area Counts'!F85</f>
        <v>0</v>
      </c>
    </row>
    <row r="84" spans="1:74">
      <c r="A84" s="1">
        <v>83</v>
      </c>
      <c r="B84" s="1">
        <v>11</v>
      </c>
      <c r="C84" s="1">
        <v>7</v>
      </c>
      <c r="D84" s="1">
        <f>'Plate Planning'!$H$16</f>
        <v>0</v>
      </c>
      <c r="E84" s="1" t="str">
        <f>'Plate Planning'!$H$17</f>
        <v>LC-MS</v>
      </c>
      <c r="F84" s="1">
        <f>'Plate Planning'!$H$18</f>
        <v>500</v>
      </c>
      <c r="G84" s="1">
        <f>'Plate Planning'!$H$20</f>
        <v>25</v>
      </c>
      <c r="H84" s="1">
        <f>'Plate Planning'!$H$19</f>
        <v>24</v>
      </c>
      <c r="I84" s="1" t="b">
        <f>'Plate Planning'!$H$21</f>
        <v>1</v>
      </c>
      <c r="J84" s="1" t="str">
        <f>IF('Plate Planning'!$H$22=0, "NA",'Plate Planning'!$H$22)</f>
        <v>NA</v>
      </c>
      <c r="K84" s="1">
        <f>Reagents!$D$2</f>
        <v>0</v>
      </c>
      <c r="L84" s="1">
        <f>Reagents!$D$2</f>
        <v>0</v>
      </c>
      <c r="M84" s="1">
        <f>Reagents!$J$2</f>
        <v>0</v>
      </c>
      <c r="N84" s="1">
        <f>Reagents!$D$3</f>
        <v>0</v>
      </c>
      <c r="O84" s="1">
        <f>Reagents!$J$3</f>
        <v>0</v>
      </c>
      <c r="P84" s="1">
        <f>Reagents!$D$4</f>
        <v>0</v>
      </c>
      <c r="Q84" s="1">
        <f>Reagents!$J$4</f>
        <v>0</v>
      </c>
      <c r="R84" s="1">
        <f>Reagents!$D$5</f>
        <v>0</v>
      </c>
      <c r="S84" s="1">
        <f>Reagents!$J$5</f>
        <v>0</v>
      </c>
      <c r="T84" s="1">
        <f>Reagents!$D$6</f>
        <v>0</v>
      </c>
      <c r="U84" s="1">
        <f>Reagents!$J$6</f>
        <v>0</v>
      </c>
      <c r="V84" s="1">
        <f>Reagents!$D$7</f>
        <v>0</v>
      </c>
      <c r="W84" s="1">
        <f>Reagents!$J$7</f>
        <v>0</v>
      </c>
      <c r="X84" s="1">
        <f>Reagents!$D$8</f>
        <v>0</v>
      </c>
      <c r="Y84" s="1">
        <f>Reagents!$J$8</f>
        <v>0</v>
      </c>
      <c r="Z84" s="1">
        <f>Reagents!$D$9</f>
        <v>0</v>
      </c>
      <c r="AA84" s="1">
        <f>Reagents!$J$9</f>
        <v>0</v>
      </c>
      <c r="AB84" s="1">
        <f>Reagents!$D$10</f>
        <v>0</v>
      </c>
      <c r="AC84" s="1">
        <f>Reagents!$J$10</f>
        <v>0</v>
      </c>
      <c r="AD84" s="1">
        <f>Reagents!$D$11</f>
        <v>0</v>
      </c>
      <c r="AE84" s="1">
        <f>Reagents!$J$11</f>
        <v>0</v>
      </c>
      <c r="AF84" t="str">
        <f>Reagents!$C$22</f>
        <v>-</v>
      </c>
      <c r="AG84">
        <f>Reagents!$D$22</f>
        <v>0</v>
      </c>
      <c r="AH84">
        <f>Reagents!$J$22</f>
        <v>0</v>
      </c>
      <c r="AI84" t="str">
        <f>Reagents!$C$34</f>
        <v>-</v>
      </c>
      <c r="AJ84">
        <f>Reagents!$D$34</f>
        <v>0</v>
      </c>
      <c r="AK84">
        <f>Reagents!$J$34</f>
        <v>0</v>
      </c>
      <c r="AL84" t="str">
        <f>Reagents!$C$42</f>
        <v>-</v>
      </c>
      <c r="AM84">
        <f>Reagents!$D$42</f>
        <v>0</v>
      </c>
      <c r="AN84">
        <f>Reagents!$J$42</f>
        <v>0</v>
      </c>
      <c r="AO84" t="str">
        <f>Reagents!$C$50</f>
        <v>-</v>
      </c>
      <c r="AP84">
        <f>Reagents!$D$50</f>
        <v>0</v>
      </c>
      <c r="AQ84">
        <f>Reagents!$J$50</f>
        <v>0</v>
      </c>
      <c r="AR84">
        <f>'Plate Planning'!$K$18</f>
        <v>0</v>
      </c>
      <c r="AS84">
        <f>'Plate Planning'!$L$18</f>
        <v>0</v>
      </c>
      <c r="AT84">
        <f>'Uncorrected Area Counts'!G86</f>
        <v>0</v>
      </c>
      <c r="AU84" t="e">
        <f>Yields!E86</f>
        <v>#DIV/0!</v>
      </c>
      <c r="AV84">
        <f>'Plate Planning'!$K$19</f>
        <v>0</v>
      </c>
      <c r="AW84">
        <f>'Plate Planning'!$L$19</f>
        <v>0</v>
      </c>
      <c r="AX84">
        <f>'Uncorrected Area Counts'!H86</f>
        <v>0</v>
      </c>
      <c r="AY84" t="e">
        <f>Yields!F86</f>
        <v>#DIV/0!</v>
      </c>
      <c r="AZ84">
        <f>'Plate Planning'!$K$20</f>
        <v>0</v>
      </c>
      <c r="BA84">
        <f>'Plate Planning'!$L$20</f>
        <v>0</v>
      </c>
      <c r="BB84">
        <f>'Uncorrected Area Counts'!I86</f>
        <v>0</v>
      </c>
      <c r="BC84" t="e">
        <f>Yields!G86</f>
        <v>#DIV/0!</v>
      </c>
      <c r="BD84">
        <f>'Plate Planning'!$K$21</f>
        <v>0</v>
      </c>
      <c r="BE84">
        <f>'Plate Planning'!$L$21</f>
        <v>0</v>
      </c>
      <c r="BF84">
        <f>'Uncorrected Area Counts'!J86</f>
        <v>0</v>
      </c>
      <c r="BG84" t="e">
        <f>Yields!H86</f>
        <v>#DIV/0!</v>
      </c>
      <c r="BH84">
        <f>'Plate Planning'!$K$22</f>
        <v>0</v>
      </c>
      <c r="BI84">
        <f>'Plate Planning'!$L$22</f>
        <v>0</v>
      </c>
      <c r="BJ84">
        <f>'Uncorrected Area Counts'!K86</f>
        <v>0</v>
      </c>
      <c r="BK84" t="e">
        <f>Yields!I86</f>
        <v>#DIV/0!</v>
      </c>
      <c r="BL84">
        <f>'Plate Planning'!$K$23</f>
        <v>0</v>
      </c>
      <c r="BM84">
        <f>'Plate Planning'!$L$23</f>
        <v>0</v>
      </c>
      <c r="BN84">
        <f>'Uncorrected Area Counts'!L86</f>
        <v>0</v>
      </c>
      <c r="BO84" t="e">
        <f>Yields!J86</f>
        <v>#DIV/0!</v>
      </c>
      <c r="BP84">
        <f>'Plate Planning'!$K$24</f>
        <v>0</v>
      </c>
      <c r="BQ84">
        <f>'Plate Planning'!$L$24</f>
        <v>0</v>
      </c>
      <c r="BR84">
        <f>'Uncorrected Area Counts'!M86</f>
        <v>0</v>
      </c>
      <c r="BS84" t="e">
        <f>Yields!K86</f>
        <v>#DIV/0!</v>
      </c>
      <c r="BT84">
        <f>'Plate Planning'!$L$17</f>
        <v>0</v>
      </c>
      <c r="BU84">
        <f>'Plate Planning'!$M$17</f>
        <v>0</v>
      </c>
      <c r="BV84">
        <f>'Uncorrected Area Counts'!F86</f>
        <v>0</v>
      </c>
    </row>
    <row r="85" spans="1:74">
      <c r="A85" s="1">
        <v>84</v>
      </c>
      <c r="B85" s="1">
        <v>12</v>
      </c>
      <c r="C85" s="1">
        <v>7</v>
      </c>
      <c r="D85" s="1">
        <f>'Plate Planning'!$H$16</f>
        <v>0</v>
      </c>
      <c r="E85" s="1" t="str">
        <f>'Plate Planning'!$H$17</f>
        <v>LC-MS</v>
      </c>
      <c r="F85" s="1">
        <f>'Plate Planning'!$H$18</f>
        <v>500</v>
      </c>
      <c r="G85" s="1">
        <f>'Plate Planning'!$H$20</f>
        <v>25</v>
      </c>
      <c r="H85" s="1">
        <f>'Plate Planning'!$H$19</f>
        <v>24</v>
      </c>
      <c r="I85" s="1" t="b">
        <f>'Plate Planning'!$H$21</f>
        <v>1</v>
      </c>
      <c r="J85" s="1" t="str">
        <f>IF('Plate Planning'!$H$22=0, "NA",'Plate Planning'!$H$22)</f>
        <v>NA</v>
      </c>
      <c r="K85" s="1">
        <f>Reagents!$D$2</f>
        <v>0</v>
      </c>
      <c r="L85" s="1">
        <f>Reagents!$D$2</f>
        <v>0</v>
      </c>
      <c r="M85" s="1">
        <f>Reagents!$J$2</f>
        <v>0</v>
      </c>
      <c r="N85" s="1">
        <f>Reagents!$D$3</f>
        <v>0</v>
      </c>
      <c r="O85" s="1">
        <f>Reagents!$J$3</f>
        <v>0</v>
      </c>
      <c r="P85" s="1">
        <f>Reagents!$D$4</f>
        <v>0</v>
      </c>
      <c r="Q85" s="1">
        <f>Reagents!$J$4</f>
        <v>0</v>
      </c>
      <c r="R85" s="1">
        <f>Reagents!$D$5</f>
        <v>0</v>
      </c>
      <c r="S85" s="1">
        <f>Reagents!$J$5</f>
        <v>0</v>
      </c>
      <c r="T85" s="1">
        <f>Reagents!$D$6</f>
        <v>0</v>
      </c>
      <c r="U85" s="1">
        <f>Reagents!$J$6</f>
        <v>0</v>
      </c>
      <c r="V85" s="1">
        <f>Reagents!$D$7</f>
        <v>0</v>
      </c>
      <c r="W85" s="1">
        <f>Reagents!$J$7</f>
        <v>0</v>
      </c>
      <c r="X85" s="1">
        <f>Reagents!$D$8</f>
        <v>0</v>
      </c>
      <c r="Y85" s="1">
        <f>Reagents!$J$8</f>
        <v>0</v>
      </c>
      <c r="Z85" s="1">
        <f>Reagents!$D$9</f>
        <v>0</v>
      </c>
      <c r="AA85" s="1">
        <f>Reagents!$J$9</f>
        <v>0</v>
      </c>
      <c r="AB85" s="1">
        <f>Reagents!$D$10</f>
        <v>0</v>
      </c>
      <c r="AC85" s="1">
        <f>Reagents!$J$10</f>
        <v>0</v>
      </c>
      <c r="AD85" s="1">
        <f>Reagents!$D$11</f>
        <v>0</v>
      </c>
      <c r="AE85" s="1">
        <f>Reagents!$J$11</f>
        <v>0</v>
      </c>
      <c r="AF85" t="str">
        <f>Reagents!$C$23</f>
        <v>-</v>
      </c>
      <c r="AG85">
        <f>Reagents!$D$23</f>
        <v>0</v>
      </c>
      <c r="AH85">
        <f>Reagents!$J$23</f>
        <v>0</v>
      </c>
      <c r="AI85" t="str">
        <f>Reagents!$C$35</f>
        <v>-</v>
      </c>
      <c r="AJ85">
        <f>Reagents!$D$35</f>
        <v>0</v>
      </c>
      <c r="AK85">
        <f>Reagents!$J$35</f>
        <v>0</v>
      </c>
      <c r="AL85" t="str">
        <f>Reagents!$C$42</f>
        <v>-</v>
      </c>
      <c r="AM85">
        <f>Reagents!$D$42</f>
        <v>0</v>
      </c>
      <c r="AN85">
        <f>Reagents!$J$42</f>
        <v>0</v>
      </c>
      <c r="AO85" t="str">
        <f>Reagents!$C$50</f>
        <v>-</v>
      </c>
      <c r="AP85">
        <f>Reagents!$D$50</f>
        <v>0</v>
      </c>
      <c r="AQ85">
        <f>Reagents!$J$50</f>
        <v>0</v>
      </c>
      <c r="AR85">
        <f>'Plate Planning'!$K$18</f>
        <v>0</v>
      </c>
      <c r="AS85">
        <f>'Plate Planning'!$L$18</f>
        <v>0</v>
      </c>
      <c r="AT85">
        <f>'Uncorrected Area Counts'!G87</f>
        <v>0</v>
      </c>
      <c r="AU85" t="e">
        <f>Yields!E87</f>
        <v>#DIV/0!</v>
      </c>
      <c r="AV85">
        <f>'Plate Planning'!$K$19</f>
        <v>0</v>
      </c>
      <c r="AW85">
        <f>'Plate Planning'!$L$19</f>
        <v>0</v>
      </c>
      <c r="AX85">
        <f>'Uncorrected Area Counts'!H87</f>
        <v>0</v>
      </c>
      <c r="AY85" t="e">
        <f>Yields!F87</f>
        <v>#DIV/0!</v>
      </c>
      <c r="AZ85">
        <f>'Plate Planning'!$K$20</f>
        <v>0</v>
      </c>
      <c r="BA85">
        <f>'Plate Planning'!$L$20</f>
        <v>0</v>
      </c>
      <c r="BB85">
        <f>'Uncorrected Area Counts'!I87</f>
        <v>0</v>
      </c>
      <c r="BC85" t="e">
        <f>Yields!G87</f>
        <v>#DIV/0!</v>
      </c>
      <c r="BD85">
        <f>'Plate Planning'!$K$21</f>
        <v>0</v>
      </c>
      <c r="BE85">
        <f>'Plate Planning'!$L$21</f>
        <v>0</v>
      </c>
      <c r="BF85">
        <f>'Uncorrected Area Counts'!J87</f>
        <v>0</v>
      </c>
      <c r="BG85" t="e">
        <f>Yields!H87</f>
        <v>#DIV/0!</v>
      </c>
      <c r="BH85">
        <f>'Plate Planning'!$K$22</f>
        <v>0</v>
      </c>
      <c r="BI85">
        <f>'Plate Planning'!$L$22</f>
        <v>0</v>
      </c>
      <c r="BJ85">
        <f>'Uncorrected Area Counts'!K87</f>
        <v>0</v>
      </c>
      <c r="BK85" t="e">
        <f>Yields!I87</f>
        <v>#DIV/0!</v>
      </c>
      <c r="BL85">
        <f>'Plate Planning'!$K$23</f>
        <v>0</v>
      </c>
      <c r="BM85">
        <f>'Plate Planning'!$L$23</f>
        <v>0</v>
      </c>
      <c r="BN85">
        <f>'Uncorrected Area Counts'!L87</f>
        <v>0</v>
      </c>
      <c r="BO85" t="e">
        <f>Yields!J87</f>
        <v>#DIV/0!</v>
      </c>
      <c r="BP85">
        <f>'Plate Planning'!$K$24</f>
        <v>0</v>
      </c>
      <c r="BQ85">
        <f>'Plate Planning'!$L$24</f>
        <v>0</v>
      </c>
      <c r="BR85">
        <f>'Uncorrected Area Counts'!M87</f>
        <v>0</v>
      </c>
      <c r="BS85" t="e">
        <f>Yields!K87</f>
        <v>#DIV/0!</v>
      </c>
      <c r="BT85">
        <f>'Plate Planning'!$L$17</f>
        <v>0</v>
      </c>
      <c r="BU85">
        <f>'Plate Planning'!$M$17</f>
        <v>0</v>
      </c>
      <c r="BV85">
        <f>'Uncorrected Area Counts'!F87</f>
        <v>0</v>
      </c>
    </row>
    <row r="86" spans="1:74">
      <c r="A86" s="1">
        <v>85</v>
      </c>
      <c r="B86" s="1">
        <v>1</v>
      </c>
      <c r="C86" s="1">
        <v>8</v>
      </c>
      <c r="D86" s="1">
        <f>'Plate Planning'!$H$16</f>
        <v>0</v>
      </c>
      <c r="E86" s="1" t="str">
        <f>'Plate Planning'!$H$17</f>
        <v>LC-MS</v>
      </c>
      <c r="F86" s="1">
        <f>'Plate Planning'!$H$18</f>
        <v>500</v>
      </c>
      <c r="G86" s="1">
        <f>'Plate Planning'!$H$20</f>
        <v>25</v>
      </c>
      <c r="H86" s="1">
        <f>'Plate Planning'!$H$19</f>
        <v>24</v>
      </c>
      <c r="I86" s="1" t="b">
        <f>'Plate Planning'!$H$21</f>
        <v>1</v>
      </c>
      <c r="J86" s="1" t="str">
        <f>IF('Plate Planning'!$H$22=0, "NA",'Plate Planning'!$H$22)</f>
        <v>NA</v>
      </c>
      <c r="K86" s="1">
        <f>Reagents!$D$2</f>
        <v>0</v>
      </c>
      <c r="L86" s="1">
        <f>Reagents!$D$2</f>
        <v>0</v>
      </c>
      <c r="M86" s="1">
        <f>Reagents!$J$2</f>
        <v>0</v>
      </c>
      <c r="N86" s="1">
        <f>Reagents!$D$3</f>
        <v>0</v>
      </c>
      <c r="O86" s="1">
        <f>Reagents!$J$3</f>
        <v>0</v>
      </c>
      <c r="P86" s="1">
        <f>Reagents!$D$4</f>
        <v>0</v>
      </c>
      <c r="Q86" s="1">
        <f>Reagents!$J$4</f>
        <v>0</v>
      </c>
      <c r="R86" s="1">
        <f>Reagents!$D$5</f>
        <v>0</v>
      </c>
      <c r="S86" s="1">
        <f>Reagents!$J$5</f>
        <v>0</v>
      </c>
      <c r="T86" s="1">
        <f>Reagents!$D$6</f>
        <v>0</v>
      </c>
      <c r="U86" s="1">
        <f>Reagents!$J$6</f>
        <v>0</v>
      </c>
      <c r="V86" s="1">
        <f>Reagents!$D$7</f>
        <v>0</v>
      </c>
      <c r="W86" s="1">
        <f>Reagents!$J$7</f>
        <v>0</v>
      </c>
      <c r="X86" s="1">
        <f>Reagents!$D$8</f>
        <v>0</v>
      </c>
      <c r="Y86" s="1">
        <f>Reagents!$J$8</f>
        <v>0</v>
      </c>
      <c r="Z86" s="1">
        <f>Reagents!$D$9</f>
        <v>0</v>
      </c>
      <c r="AA86" s="1">
        <f>Reagents!$J$9</f>
        <v>0</v>
      </c>
      <c r="AB86" s="1">
        <f>Reagents!$D$10</f>
        <v>0</v>
      </c>
      <c r="AC86" s="1">
        <f>Reagents!$J$10</f>
        <v>0</v>
      </c>
      <c r="AD86" s="1">
        <f>Reagents!$D$11</f>
        <v>0</v>
      </c>
      <c r="AE86" s="1">
        <f>Reagents!$J$11</f>
        <v>0</v>
      </c>
      <c r="AF86" t="str">
        <f>Reagents!$C$12</f>
        <v>-</v>
      </c>
      <c r="AG86">
        <f>Reagents!$D$12</f>
        <v>0</v>
      </c>
      <c r="AH86">
        <f>Reagents!$J$12</f>
        <v>0</v>
      </c>
      <c r="AI86" t="str">
        <f>Reagents!$C$24</f>
        <v>-</v>
      </c>
      <c r="AJ86">
        <f>Reagents!$D$24</f>
        <v>0</v>
      </c>
      <c r="AK86">
        <f>Reagents!$J$24</f>
        <v>0</v>
      </c>
      <c r="AL86" t="str">
        <f>Reagents!$C$43</f>
        <v>-</v>
      </c>
      <c r="AM86">
        <f>Reagents!$D$43</f>
        <v>0</v>
      </c>
      <c r="AN86">
        <f>Reagents!$J$43</f>
        <v>0</v>
      </c>
      <c r="AO86" t="str">
        <f>Reagents!$C$51</f>
        <v>-</v>
      </c>
      <c r="AP86">
        <f>Reagents!$D$51</f>
        <v>0</v>
      </c>
      <c r="AQ86">
        <f>Reagents!$J$51</f>
        <v>0</v>
      </c>
      <c r="AR86">
        <f>'Plate Planning'!$K$18</f>
        <v>0</v>
      </c>
      <c r="AS86">
        <f>'Plate Planning'!$L$18</f>
        <v>0</v>
      </c>
      <c r="AT86">
        <f>'Uncorrected Area Counts'!G88</f>
        <v>0</v>
      </c>
      <c r="AU86" t="e">
        <f>Yields!E88</f>
        <v>#DIV/0!</v>
      </c>
      <c r="AV86">
        <f>'Plate Planning'!$K$19</f>
        <v>0</v>
      </c>
      <c r="AW86">
        <f>'Plate Planning'!$L$19</f>
        <v>0</v>
      </c>
      <c r="AX86">
        <f>'Uncorrected Area Counts'!H88</f>
        <v>0</v>
      </c>
      <c r="AY86" t="e">
        <f>Yields!F88</f>
        <v>#DIV/0!</v>
      </c>
      <c r="AZ86">
        <f>'Plate Planning'!$K$20</f>
        <v>0</v>
      </c>
      <c r="BA86">
        <f>'Plate Planning'!$L$20</f>
        <v>0</v>
      </c>
      <c r="BB86">
        <f>'Uncorrected Area Counts'!I88</f>
        <v>0</v>
      </c>
      <c r="BC86" t="e">
        <f>Yields!G88</f>
        <v>#DIV/0!</v>
      </c>
      <c r="BD86">
        <f>'Plate Planning'!$K$21</f>
        <v>0</v>
      </c>
      <c r="BE86">
        <f>'Plate Planning'!$L$21</f>
        <v>0</v>
      </c>
      <c r="BF86">
        <f>'Uncorrected Area Counts'!J88</f>
        <v>0</v>
      </c>
      <c r="BG86" t="e">
        <f>Yields!H88</f>
        <v>#DIV/0!</v>
      </c>
      <c r="BH86">
        <f>'Plate Planning'!$K$22</f>
        <v>0</v>
      </c>
      <c r="BI86">
        <f>'Plate Planning'!$L$22</f>
        <v>0</v>
      </c>
      <c r="BJ86">
        <f>'Uncorrected Area Counts'!K88</f>
        <v>0</v>
      </c>
      <c r="BK86" t="e">
        <f>Yields!I88</f>
        <v>#DIV/0!</v>
      </c>
      <c r="BL86">
        <f>'Plate Planning'!$K$23</f>
        <v>0</v>
      </c>
      <c r="BM86">
        <f>'Plate Planning'!$L$23</f>
        <v>0</v>
      </c>
      <c r="BN86">
        <f>'Uncorrected Area Counts'!L88</f>
        <v>0</v>
      </c>
      <c r="BO86" t="e">
        <f>Yields!J88</f>
        <v>#DIV/0!</v>
      </c>
      <c r="BP86">
        <f>'Plate Planning'!$K$24</f>
        <v>0</v>
      </c>
      <c r="BQ86">
        <f>'Plate Planning'!$L$24</f>
        <v>0</v>
      </c>
      <c r="BR86">
        <f>'Uncorrected Area Counts'!M88</f>
        <v>0</v>
      </c>
      <c r="BS86" t="e">
        <f>Yields!K88</f>
        <v>#DIV/0!</v>
      </c>
      <c r="BT86">
        <f>'Plate Planning'!$L$17</f>
        <v>0</v>
      </c>
      <c r="BU86">
        <f>'Plate Planning'!$M$17</f>
        <v>0</v>
      </c>
      <c r="BV86">
        <f>'Uncorrected Area Counts'!F88</f>
        <v>0</v>
      </c>
    </row>
    <row r="87" spans="1:74">
      <c r="A87" s="1">
        <v>86</v>
      </c>
      <c r="B87" s="1">
        <v>2</v>
      </c>
      <c r="C87" s="1">
        <v>8</v>
      </c>
      <c r="D87" s="1">
        <f>'Plate Planning'!$H$16</f>
        <v>0</v>
      </c>
      <c r="E87" s="1" t="str">
        <f>'Plate Planning'!$H$17</f>
        <v>LC-MS</v>
      </c>
      <c r="F87" s="1">
        <f>'Plate Planning'!$H$18</f>
        <v>500</v>
      </c>
      <c r="G87" s="1">
        <f>'Plate Planning'!$H$20</f>
        <v>25</v>
      </c>
      <c r="H87" s="1">
        <f>'Plate Planning'!$H$19</f>
        <v>24</v>
      </c>
      <c r="I87" s="1" t="b">
        <f>'Plate Planning'!$H$21</f>
        <v>1</v>
      </c>
      <c r="J87" s="1" t="str">
        <f>IF('Plate Planning'!$H$22=0, "NA",'Plate Planning'!$H$22)</f>
        <v>NA</v>
      </c>
      <c r="K87" s="1">
        <f>Reagents!$D$2</f>
        <v>0</v>
      </c>
      <c r="L87" s="1">
        <f>Reagents!$D$2</f>
        <v>0</v>
      </c>
      <c r="M87" s="1">
        <f>Reagents!$J$2</f>
        <v>0</v>
      </c>
      <c r="N87" s="1">
        <f>Reagents!$D$3</f>
        <v>0</v>
      </c>
      <c r="O87" s="1">
        <f>Reagents!$J$3</f>
        <v>0</v>
      </c>
      <c r="P87" s="1">
        <f>Reagents!$D$4</f>
        <v>0</v>
      </c>
      <c r="Q87" s="1">
        <f>Reagents!$J$4</f>
        <v>0</v>
      </c>
      <c r="R87" s="1">
        <f>Reagents!$D$5</f>
        <v>0</v>
      </c>
      <c r="S87" s="1">
        <f>Reagents!$J$5</f>
        <v>0</v>
      </c>
      <c r="T87" s="1">
        <f>Reagents!$D$6</f>
        <v>0</v>
      </c>
      <c r="U87" s="1">
        <f>Reagents!$J$6</f>
        <v>0</v>
      </c>
      <c r="V87" s="1">
        <f>Reagents!$D$7</f>
        <v>0</v>
      </c>
      <c r="W87" s="1">
        <f>Reagents!$J$7</f>
        <v>0</v>
      </c>
      <c r="X87" s="1">
        <f>Reagents!$D$8</f>
        <v>0</v>
      </c>
      <c r="Y87" s="1">
        <f>Reagents!$J$8</f>
        <v>0</v>
      </c>
      <c r="Z87" s="1">
        <f>Reagents!$D$9</f>
        <v>0</v>
      </c>
      <c r="AA87" s="1">
        <f>Reagents!$J$9</f>
        <v>0</v>
      </c>
      <c r="AB87" s="1">
        <f>Reagents!$D$10</f>
        <v>0</v>
      </c>
      <c r="AC87" s="1">
        <f>Reagents!$J$10</f>
        <v>0</v>
      </c>
      <c r="AD87" s="1">
        <f>Reagents!$D$11</f>
        <v>0</v>
      </c>
      <c r="AE87" s="1">
        <f>Reagents!$J$11</f>
        <v>0</v>
      </c>
      <c r="AF87" t="str">
        <f>Reagents!$C$13</f>
        <v>-</v>
      </c>
      <c r="AG87">
        <f>Reagents!$D$13</f>
        <v>0</v>
      </c>
      <c r="AH87">
        <f>Reagents!$J$13</f>
        <v>0</v>
      </c>
      <c r="AI87" t="str">
        <f>Reagents!$C$25</f>
        <v>-</v>
      </c>
      <c r="AJ87">
        <f>Reagents!$D$25</f>
        <v>0</v>
      </c>
      <c r="AK87">
        <f>Reagents!$J$25</f>
        <v>0</v>
      </c>
      <c r="AL87" t="str">
        <f>Reagents!$C$43</f>
        <v>-</v>
      </c>
      <c r="AM87">
        <f>Reagents!$D$43</f>
        <v>0</v>
      </c>
      <c r="AN87">
        <f>Reagents!$J$43</f>
        <v>0</v>
      </c>
      <c r="AO87" t="str">
        <f>Reagents!$C$51</f>
        <v>-</v>
      </c>
      <c r="AP87">
        <f>Reagents!$D$51</f>
        <v>0</v>
      </c>
      <c r="AQ87">
        <f>Reagents!$J$51</f>
        <v>0</v>
      </c>
      <c r="AR87">
        <f>'Plate Planning'!$K$18</f>
        <v>0</v>
      </c>
      <c r="AS87">
        <f>'Plate Planning'!$L$18</f>
        <v>0</v>
      </c>
      <c r="AT87">
        <f>'Uncorrected Area Counts'!G89</f>
        <v>0</v>
      </c>
      <c r="AU87" t="e">
        <f>Yields!E89</f>
        <v>#DIV/0!</v>
      </c>
      <c r="AV87">
        <f>'Plate Planning'!$K$19</f>
        <v>0</v>
      </c>
      <c r="AW87">
        <f>'Plate Planning'!$L$19</f>
        <v>0</v>
      </c>
      <c r="AX87">
        <f>'Uncorrected Area Counts'!H89</f>
        <v>0</v>
      </c>
      <c r="AY87" t="e">
        <f>Yields!F89</f>
        <v>#DIV/0!</v>
      </c>
      <c r="AZ87">
        <f>'Plate Planning'!$K$20</f>
        <v>0</v>
      </c>
      <c r="BA87">
        <f>'Plate Planning'!$L$20</f>
        <v>0</v>
      </c>
      <c r="BB87">
        <f>'Uncorrected Area Counts'!I89</f>
        <v>0</v>
      </c>
      <c r="BC87" t="e">
        <f>Yields!G89</f>
        <v>#DIV/0!</v>
      </c>
      <c r="BD87">
        <f>'Plate Planning'!$K$21</f>
        <v>0</v>
      </c>
      <c r="BE87">
        <f>'Plate Planning'!$L$21</f>
        <v>0</v>
      </c>
      <c r="BF87">
        <f>'Uncorrected Area Counts'!J89</f>
        <v>0</v>
      </c>
      <c r="BG87" t="e">
        <f>Yields!H89</f>
        <v>#DIV/0!</v>
      </c>
      <c r="BH87">
        <f>'Plate Planning'!$K$22</f>
        <v>0</v>
      </c>
      <c r="BI87">
        <f>'Plate Planning'!$L$22</f>
        <v>0</v>
      </c>
      <c r="BJ87">
        <f>'Uncorrected Area Counts'!K89</f>
        <v>0</v>
      </c>
      <c r="BK87" t="e">
        <f>Yields!I89</f>
        <v>#DIV/0!</v>
      </c>
      <c r="BL87">
        <f>'Plate Planning'!$K$23</f>
        <v>0</v>
      </c>
      <c r="BM87">
        <f>'Plate Planning'!$L$23</f>
        <v>0</v>
      </c>
      <c r="BN87">
        <f>'Uncorrected Area Counts'!L89</f>
        <v>0</v>
      </c>
      <c r="BO87" t="e">
        <f>Yields!J89</f>
        <v>#DIV/0!</v>
      </c>
      <c r="BP87">
        <f>'Plate Planning'!$K$24</f>
        <v>0</v>
      </c>
      <c r="BQ87">
        <f>'Plate Planning'!$L$24</f>
        <v>0</v>
      </c>
      <c r="BR87">
        <f>'Uncorrected Area Counts'!M89</f>
        <v>0</v>
      </c>
      <c r="BS87" t="e">
        <f>Yields!K89</f>
        <v>#DIV/0!</v>
      </c>
      <c r="BT87">
        <f>'Plate Planning'!$L$17</f>
        <v>0</v>
      </c>
      <c r="BU87">
        <f>'Plate Planning'!$M$17</f>
        <v>0</v>
      </c>
      <c r="BV87">
        <f>'Uncorrected Area Counts'!F89</f>
        <v>0</v>
      </c>
    </row>
    <row r="88" spans="1:74">
      <c r="A88" s="1">
        <v>87</v>
      </c>
      <c r="B88" s="1">
        <v>3</v>
      </c>
      <c r="C88" s="1">
        <v>8</v>
      </c>
      <c r="D88" s="1">
        <f>'Plate Planning'!$H$16</f>
        <v>0</v>
      </c>
      <c r="E88" s="1" t="str">
        <f>'Plate Planning'!$H$17</f>
        <v>LC-MS</v>
      </c>
      <c r="F88" s="1">
        <f>'Plate Planning'!$H$18</f>
        <v>500</v>
      </c>
      <c r="G88" s="1">
        <f>'Plate Planning'!$H$20</f>
        <v>25</v>
      </c>
      <c r="H88" s="1">
        <f>'Plate Planning'!$H$19</f>
        <v>24</v>
      </c>
      <c r="I88" s="1" t="b">
        <f>'Plate Planning'!$H$21</f>
        <v>1</v>
      </c>
      <c r="J88" s="1" t="str">
        <f>IF('Plate Planning'!$H$22=0, "NA",'Plate Planning'!$H$22)</f>
        <v>NA</v>
      </c>
      <c r="K88" s="1">
        <f>Reagents!$D$2</f>
        <v>0</v>
      </c>
      <c r="L88" s="1">
        <f>Reagents!$D$2</f>
        <v>0</v>
      </c>
      <c r="M88" s="1">
        <f>Reagents!$J$2</f>
        <v>0</v>
      </c>
      <c r="N88" s="1">
        <f>Reagents!$D$3</f>
        <v>0</v>
      </c>
      <c r="O88" s="1">
        <f>Reagents!$J$3</f>
        <v>0</v>
      </c>
      <c r="P88" s="1">
        <f>Reagents!$D$4</f>
        <v>0</v>
      </c>
      <c r="Q88" s="1">
        <f>Reagents!$J$4</f>
        <v>0</v>
      </c>
      <c r="R88" s="1">
        <f>Reagents!$D$5</f>
        <v>0</v>
      </c>
      <c r="S88" s="1">
        <f>Reagents!$J$5</f>
        <v>0</v>
      </c>
      <c r="T88" s="1">
        <f>Reagents!$D$6</f>
        <v>0</v>
      </c>
      <c r="U88" s="1">
        <f>Reagents!$J$6</f>
        <v>0</v>
      </c>
      <c r="V88" s="1">
        <f>Reagents!$D$7</f>
        <v>0</v>
      </c>
      <c r="W88" s="1">
        <f>Reagents!$J$7</f>
        <v>0</v>
      </c>
      <c r="X88" s="1">
        <f>Reagents!$D$8</f>
        <v>0</v>
      </c>
      <c r="Y88" s="1">
        <f>Reagents!$J$8</f>
        <v>0</v>
      </c>
      <c r="Z88" s="1">
        <f>Reagents!$D$9</f>
        <v>0</v>
      </c>
      <c r="AA88" s="1">
        <f>Reagents!$J$9</f>
        <v>0</v>
      </c>
      <c r="AB88" s="1">
        <f>Reagents!$D$10</f>
        <v>0</v>
      </c>
      <c r="AC88" s="1">
        <f>Reagents!$J$10</f>
        <v>0</v>
      </c>
      <c r="AD88" s="1">
        <f>Reagents!$D$11</f>
        <v>0</v>
      </c>
      <c r="AE88" s="1">
        <f>Reagents!$J$11</f>
        <v>0</v>
      </c>
      <c r="AF88" t="str">
        <f>Reagents!$C$14</f>
        <v>-</v>
      </c>
      <c r="AG88">
        <f>Reagents!$D$14</f>
        <v>0</v>
      </c>
      <c r="AH88">
        <f>Reagents!$J$14</f>
        <v>0</v>
      </c>
      <c r="AI88" t="str">
        <f>Reagents!$C$26</f>
        <v>-</v>
      </c>
      <c r="AJ88">
        <f>Reagents!$D$26</f>
        <v>0</v>
      </c>
      <c r="AK88">
        <f>Reagents!$J$26</f>
        <v>0</v>
      </c>
      <c r="AL88" t="str">
        <f>Reagents!$C$43</f>
        <v>-</v>
      </c>
      <c r="AM88">
        <f>Reagents!$D$43</f>
        <v>0</v>
      </c>
      <c r="AN88">
        <f>Reagents!$J$43</f>
        <v>0</v>
      </c>
      <c r="AO88" t="str">
        <f>Reagents!$C$51</f>
        <v>-</v>
      </c>
      <c r="AP88">
        <f>Reagents!$D$51</f>
        <v>0</v>
      </c>
      <c r="AQ88">
        <f>Reagents!$J$51</f>
        <v>0</v>
      </c>
      <c r="AR88">
        <f>'Plate Planning'!$K$18</f>
        <v>0</v>
      </c>
      <c r="AS88">
        <f>'Plate Planning'!$L$18</f>
        <v>0</v>
      </c>
      <c r="AT88">
        <f>'Uncorrected Area Counts'!G90</f>
        <v>0</v>
      </c>
      <c r="AU88" t="e">
        <f>Yields!E90</f>
        <v>#DIV/0!</v>
      </c>
      <c r="AV88">
        <f>'Plate Planning'!$K$19</f>
        <v>0</v>
      </c>
      <c r="AW88">
        <f>'Plate Planning'!$L$19</f>
        <v>0</v>
      </c>
      <c r="AX88">
        <f>'Uncorrected Area Counts'!H90</f>
        <v>0</v>
      </c>
      <c r="AY88" t="e">
        <f>Yields!F90</f>
        <v>#DIV/0!</v>
      </c>
      <c r="AZ88">
        <f>'Plate Planning'!$K$20</f>
        <v>0</v>
      </c>
      <c r="BA88">
        <f>'Plate Planning'!$L$20</f>
        <v>0</v>
      </c>
      <c r="BB88">
        <f>'Uncorrected Area Counts'!I90</f>
        <v>0</v>
      </c>
      <c r="BC88" t="e">
        <f>Yields!G90</f>
        <v>#DIV/0!</v>
      </c>
      <c r="BD88">
        <f>'Plate Planning'!$K$21</f>
        <v>0</v>
      </c>
      <c r="BE88">
        <f>'Plate Planning'!$L$21</f>
        <v>0</v>
      </c>
      <c r="BF88">
        <f>'Uncorrected Area Counts'!J90</f>
        <v>0</v>
      </c>
      <c r="BG88" t="e">
        <f>Yields!H90</f>
        <v>#DIV/0!</v>
      </c>
      <c r="BH88">
        <f>'Plate Planning'!$K$22</f>
        <v>0</v>
      </c>
      <c r="BI88">
        <f>'Plate Planning'!$L$22</f>
        <v>0</v>
      </c>
      <c r="BJ88">
        <f>'Uncorrected Area Counts'!K90</f>
        <v>0</v>
      </c>
      <c r="BK88" t="e">
        <f>Yields!I90</f>
        <v>#DIV/0!</v>
      </c>
      <c r="BL88">
        <f>'Plate Planning'!$K$23</f>
        <v>0</v>
      </c>
      <c r="BM88">
        <f>'Plate Planning'!$L$23</f>
        <v>0</v>
      </c>
      <c r="BN88">
        <f>'Uncorrected Area Counts'!L90</f>
        <v>0</v>
      </c>
      <c r="BO88" t="e">
        <f>Yields!J90</f>
        <v>#DIV/0!</v>
      </c>
      <c r="BP88">
        <f>'Plate Planning'!$K$24</f>
        <v>0</v>
      </c>
      <c r="BQ88">
        <f>'Plate Planning'!$L$24</f>
        <v>0</v>
      </c>
      <c r="BR88">
        <f>'Uncorrected Area Counts'!M90</f>
        <v>0</v>
      </c>
      <c r="BS88" t="e">
        <f>Yields!K90</f>
        <v>#DIV/0!</v>
      </c>
      <c r="BT88">
        <f>'Plate Planning'!$L$17</f>
        <v>0</v>
      </c>
      <c r="BU88">
        <f>'Plate Planning'!$M$17</f>
        <v>0</v>
      </c>
      <c r="BV88">
        <f>'Uncorrected Area Counts'!F90</f>
        <v>0</v>
      </c>
    </row>
    <row r="89" spans="1:74">
      <c r="A89" s="1">
        <v>88</v>
      </c>
      <c r="B89" s="1">
        <v>4</v>
      </c>
      <c r="C89" s="1">
        <v>8</v>
      </c>
      <c r="D89" s="1">
        <f>'Plate Planning'!$H$16</f>
        <v>0</v>
      </c>
      <c r="E89" s="1" t="str">
        <f>'Plate Planning'!$H$17</f>
        <v>LC-MS</v>
      </c>
      <c r="F89" s="1">
        <f>'Plate Planning'!$H$18</f>
        <v>500</v>
      </c>
      <c r="G89" s="1">
        <f>'Plate Planning'!$H$20</f>
        <v>25</v>
      </c>
      <c r="H89" s="1">
        <f>'Plate Planning'!$H$19</f>
        <v>24</v>
      </c>
      <c r="I89" s="1" t="b">
        <f>'Plate Planning'!$H$21</f>
        <v>1</v>
      </c>
      <c r="J89" s="1" t="str">
        <f>IF('Plate Planning'!$H$22=0, "NA",'Plate Planning'!$H$22)</f>
        <v>NA</v>
      </c>
      <c r="K89" s="1">
        <f>Reagents!$D$2</f>
        <v>0</v>
      </c>
      <c r="L89" s="1">
        <f>Reagents!$D$2</f>
        <v>0</v>
      </c>
      <c r="M89" s="1">
        <f>Reagents!$J$2</f>
        <v>0</v>
      </c>
      <c r="N89" s="1">
        <f>Reagents!$D$3</f>
        <v>0</v>
      </c>
      <c r="O89" s="1">
        <f>Reagents!$J$3</f>
        <v>0</v>
      </c>
      <c r="P89" s="1">
        <f>Reagents!$D$4</f>
        <v>0</v>
      </c>
      <c r="Q89" s="1">
        <f>Reagents!$J$4</f>
        <v>0</v>
      </c>
      <c r="R89" s="1">
        <f>Reagents!$D$5</f>
        <v>0</v>
      </c>
      <c r="S89" s="1">
        <f>Reagents!$J$5</f>
        <v>0</v>
      </c>
      <c r="T89" s="1">
        <f>Reagents!$D$6</f>
        <v>0</v>
      </c>
      <c r="U89" s="1">
        <f>Reagents!$J$6</f>
        <v>0</v>
      </c>
      <c r="V89" s="1">
        <f>Reagents!$D$7</f>
        <v>0</v>
      </c>
      <c r="W89" s="1">
        <f>Reagents!$J$7</f>
        <v>0</v>
      </c>
      <c r="X89" s="1">
        <f>Reagents!$D$8</f>
        <v>0</v>
      </c>
      <c r="Y89" s="1">
        <f>Reagents!$J$8</f>
        <v>0</v>
      </c>
      <c r="Z89" s="1">
        <f>Reagents!$D$9</f>
        <v>0</v>
      </c>
      <c r="AA89" s="1">
        <f>Reagents!$J$9</f>
        <v>0</v>
      </c>
      <c r="AB89" s="1">
        <f>Reagents!$D$10</f>
        <v>0</v>
      </c>
      <c r="AC89" s="1">
        <f>Reagents!$J$10</f>
        <v>0</v>
      </c>
      <c r="AD89" s="1">
        <f>Reagents!$D$11</f>
        <v>0</v>
      </c>
      <c r="AE89" s="1">
        <f>Reagents!$J$11</f>
        <v>0</v>
      </c>
      <c r="AF89" t="str">
        <f>Reagents!$C$15</f>
        <v>-</v>
      </c>
      <c r="AG89">
        <f>Reagents!$D$15</f>
        <v>0</v>
      </c>
      <c r="AH89">
        <f>Reagents!$J$15</f>
        <v>0</v>
      </c>
      <c r="AI89" t="str">
        <f>Reagents!$C$27</f>
        <v>-</v>
      </c>
      <c r="AJ89">
        <f>Reagents!$D$27</f>
        <v>0</v>
      </c>
      <c r="AK89">
        <f>Reagents!$J$27</f>
        <v>0</v>
      </c>
      <c r="AL89" t="str">
        <f>Reagents!$C$43</f>
        <v>-</v>
      </c>
      <c r="AM89">
        <f>Reagents!$D$43</f>
        <v>0</v>
      </c>
      <c r="AN89">
        <f>Reagents!$J$43</f>
        <v>0</v>
      </c>
      <c r="AO89" t="str">
        <f>Reagents!$C$51</f>
        <v>-</v>
      </c>
      <c r="AP89">
        <f>Reagents!$D$51</f>
        <v>0</v>
      </c>
      <c r="AQ89">
        <f>Reagents!$J$51</f>
        <v>0</v>
      </c>
      <c r="AR89">
        <f>'Plate Planning'!$K$18</f>
        <v>0</v>
      </c>
      <c r="AS89">
        <f>'Plate Planning'!$L$18</f>
        <v>0</v>
      </c>
      <c r="AT89">
        <f>'Uncorrected Area Counts'!G91</f>
        <v>0</v>
      </c>
      <c r="AU89" t="e">
        <f>Yields!E91</f>
        <v>#DIV/0!</v>
      </c>
      <c r="AV89">
        <f>'Plate Planning'!$K$19</f>
        <v>0</v>
      </c>
      <c r="AW89">
        <f>'Plate Planning'!$L$19</f>
        <v>0</v>
      </c>
      <c r="AX89">
        <f>'Uncorrected Area Counts'!H91</f>
        <v>0</v>
      </c>
      <c r="AY89" t="e">
        <f>Yields!F91</f>
        <v>#DIV/0!</v>
      </c>
      <c r="AZ89">
        <f>'Plate Planning'!$K$20</f>
        <v>0</v>
      </c>
      <c r="BA89">
        <f>'Plate Planning'!$L$20</f>
        <v>0</v>
      </c>
      <c r="BB89">
        <f>'Uncorrected Area Counts'!I91</f>
        <v>0</v>
      </c>
      <c r="BC89" t="e">
        <f>Yields!G91</f>
        <v>#DIV/0!</v>
      </c>
      <c r="BD89">
        <f>'Plate Planning'!$K$21</f>
        <v>0</v>
      </c>
      <c r="BE89">
        <f>'Plate Planning'!$L$21</f>
        <v>0</v>
      </c>
      <c r="BF89">
        <f>'Uncorrected Area Counts'!J91</f>
        <v>0</v>
      </c>
      <c r="BG89" t="e">
        <f>Yields!H91</f>
        <v>#DIV/0!</v>
      </c>
      <c r="BH89">
        <f>'Plate Planning'!$K$22</f>
        <v>0</v>
      </c>
      <c r="BI89">
        <f>'Plate Planning'!$L$22</f>
        <v>0</v>
      </c>
      <c r="BJ89">
        <f>'Uncorrected Area Counts'!K91</f>
        <v>0</v>
      </c>
      <c r="BK89" t="e">
        <f>Yields!I91</f>
        <v>#DIV/0!</v>
      </c>
      <c r="BL89">
        <f>'Plate Planning'!$K$23</f>
        <v>0</v>
      </c>
      <c r="BM89">
        <f>'Plate Planning'!$L$23</f>
        <v>0</v>
      </c>
      <c r="BN89">
        <f>'Uncorrected Area Counts'!L91</f>
        <v>0</v>
      </c>
      <c r="BO89" t="e">
        <f>Yields!J91</f>
        <v>#DIV/0!</v>
      </c>
      <c r="BP89">
        <f>'Plate Planning'!$K$24</f>
        <v>0</v>
      </c>
      <c r="BQ89">
        <f>'Plate Planning'!$L$24</f>
        <v>0</v>
      </c>
      <c r="BR89">
        <f>'Uncorrected Area Counts'!M91</f>
        <v>0</v>
      </c>
      <c r="BS89" t="e">
        <f>Yields!K91</f>
        <v>#DIV/0!</v>
      </c>
      <c r="BT89">
        <f>'Plate Planning'!$L$17</f>
        <v>0</v>
      </c>
      <c r="BU89">
        <f>'Plate Planning'!$M$17</f>
        <v>0</v>
      </c>
      <c r="BV89">
        <f>'Uncorrected Area Counts'!F91</f>
        <v>0</v>
      </c>
    </row>
    <row r="90" spans="1:74">
      <c r="A90" s="1">
        <v>89</v>
      </c>
      <c r="B90" s="1">
        <v>5</v>
      </c>
      <c r="C90" s="1">
        <v>8</v>
      </c>
      <c r="D90" s="1">
        <f>'Plate Planning'!$H$16</f>
        <v>0</v>
      </c>
      <c r="E90" s="1" t="str">
        <f>'Plate Planning'!$H$17</f>
        <v>LC-MS</v>
      </c>
      <c r="F90" s="1">
        <f>'Plate Planning'!$H$18</f>
        <v>500</v>
      </c>
      <c r="G90" s="1">
        <f>'Plate Planning'!$H$20</f>
        <v>25</v>
      </c>
      <c r="H90" s="1">
        <f>'Plate Planning'!$H$19</f>
        <v>24</v>
      </c>
      <c r="I90" s="1" t="b">
        <f>'Plate Planning'!$H$21</f>
        <v>1</v>
      </c>
      <c r="J90" s="1" t="str">
        <f>IF('Plate Planning'!$H$22=0, "NA",'Plate Planning'!$H$22)</f>
        <v>NA</v>
      </c>
      <c r="K90" s="1">
        <f>Reagents!$D$2</f>
        <v>0</v>
      </c>
      <c r="L90" s="1">
        <f>Reagents!$D$2</f>
        <v>0</v>
      </c>
      <c r="M90" s="1">
        <f>Reagents!$J$2</f>
        <v>0</v>
      </c>
      <c r="N90" s="1">
        <f>Reagents!$D$3</f>
        <v>0</v>
      </c>
      <c r="O90" s="1">
        <f>Reagents!$J$3</f>
        <v>0</v>
      </c>
      <c r="P90" s="1">
        <f>Reagents!$D$4</f>
        <v>0</v>
      </c>
      <c r="Q90" s="1">
        <f>Reagents!$J$4</f>
        <v>0</v>
      </c>
      <c r="R90" s="1">
        <f>Reagents!$D$5</f>
        <v>0</v>
      </c>
      <c r="S90" s="1">
        <f>Reagents!$J$5</f>
        <v>0</v>
      </c>
      <c r="T90" s="1">
        <f>Reagents!$D$6</f>
        <v>0</v>
      </c>
      <c r="U90" s="1">
        <f>Reagents!$J$6</f>
        <v>0</v>
      </c>
      <c r="V90" s="1">
        <f>Reagents!$D$7</f>
        <v>0</v>
      </c>
      <c r="W90" s="1">
        <f>Reagents!$J$7</f>
        <v>0</v>
      </c>
      <c r="X90" s="1">
        <f>Reagents!$D$8</f>
        <v>0</v>
      </c>
      <c r="Y90" s="1">
        <f>Reagents!$J$8</f>
        <v>0</v>
      </c>
      <c r="Z90" s="1">
        <f>Reagents!$D$9</f>
        <v>0</v>
      </c>
      <c r="AA90" s="1">
        <f>Reagents!$J$9</f>
        <v>0</v>
      </c>
      <c r="AB90" s="1">
        <f>Reagents!$D$10</f>
        <v>0</v>
      </c>
      <c r="AC90" s="1">
        <f>Reagents!$J$10</f>
        <v>0</v>
      </c>
      <c r="AD90" s="1">
        <f>Reagents!$D$11</f>
        <v>0</v>
      </c>
      <c r="AE90" s="1">
        <f>Reagents!$J$11</f>
        <v>0</v>
      </c>
      <c r="AF90" t="str">
        <f>Reagents!$C$16</f>
        <v>-</v>
      </c>
      <c r="AG90">
        <f>Reagents!$D$16</f>
        <v>0</v>
      </c>
      <c r="AH90">
        <f>Reagents!$J$16</f>
        <v>0</v>
      </c>
      <c r="AI90" t="str">
        <f>Reagents!$C$28</f>
        <v>-</v>
      </c>
      <c r="AJ90">
        <f>Reagents!$D$28</f>
        <v>0</v>
      </c>
      <c r="AK90">
        <f>Reagents!$J$28</f>
        <v>0</v>
      </c>
      <c r="AL90" t="str">
        <f>Reagents!$C$43</f>
        <v>-</v>
      </c>
      <c r="AM90">
        <f>Reagents!$D$43</f>
        <v>0</v>
      </c>
      <c r="AN90">
        <f>Reagents!$J$43</f>
        <v>0</v>
      </c>
      <c r="AO90" t="str">
        <f>Reagents!$C$51</f>
        <v>-</v>
      </c>
      <c r="AP90">
        <f>Reagents!$D$51</f>
        <v>0</v>
      </c>
      <c r="AQ90">
        <f>Reagents!$J$51</f>
        <v>0</v>
      </c>
      <c r="AR90">
        <f>'Plate Planning'!$K$18</f>
        <v>0</v>
      </c>
      <c r="AS90">
        <f>'Plate Planning'!$L$18</f>
        <v>0</v>
      </c>
      <c r="AT90">
        <f>'Uncorrected Area Counts'!G92</f>
        <v>0</v>
      </c>
      <c r="AU90" t="e">
        <f>Yields!E92</f>
        <v>#DIV/0!</v>
      </c>
      <c r="AV90">
        <f>'Plate Planning'!$K$19</f>
        <v>0</v>
      </c>
      <c r="AW90">
        <f>'Plate Planning'!$L$19</f>
        <v>0</v>
      </c>
      <c r="AX90">
        <f>'Uncorrected Area Counts'!H92</f>
        <v>0</v>
      </c>
      <c r="AY90" t="e">
        <f>Yields!F92</f>
        <v>#DIV/0!</v>
      </c>
      <c r="AZ90">
        <f>'Plate Planning'!$K$20</f>
        <v>0</v>
      </c>
      <c r="BA90">
        <f>'Plate Planning'!$L$20</f>
        <v>0</v>
      </c>
      <c r="BB90">
        <f>'Uncorrected Area Counts'!I92</f>
        <v>0</v>
      </c>
      <c r="BC90" t="e">
        <f>Yields!G92</f>
        <v>#DIV/0!</v>
      </c>
      <c r="BD90">
        <f>'Plate Planning'!$K$21</f>
        <v>0</v>
      </c>
      <c r="BE90">
        <f>'Plate Planning'!$L$21</f>
        <v>0</v>
      </c>
      <c r="BF90">
        <f>'Uncorrected Area Counts'!J92</f>
        <v>0</v>
      </c>
      <c r="BG90" t="e">
        <f>Yields!H92</f>
        <v>#DIV/0!</v>
      </c>
      <c r="BH90">
        <f>'Plate Planning'!$K$22</f>
        <v>0</v>
      </c>
      <c r="BI90">
        <f>'Plate Planning'!$L$22</f>
        <v>0</v>
      </c>
      <c r="BJ90">
        <f>'Uncorrected Area Counts'!K92</f>
        <v>0</v>
      </c>
      <c r="BK90" t="e">
        <f>Yields!I92</f>
        <v>#DIV/0!</v>
      </c>
      <c r="BL90">
        <f>'Plate Planning'!$K$23</f>
        <v>0</v>
      </c>
      <c r="BM90">
        <f>'Plate Planning'!$L$23</f>
        <v>0</v>
      </c>
      <c r="BN90">
        <f>'Uncorrected Area Counts'!L92</f>
        <v>0</v>
      </c>
      <c r="BO90" t="e">
        <f>Yields!J92</f>
        <v>#DIV/0!</v>
      </c>
      <c r="BP90">
        <f>'Plate Planning'!$K$24</f>
        <v>0</v>
      </c>
      <c r="BQ90">
        <f>'Plate Planning'!$L$24</f>
        <v>0</v>
      </c>
      <c r="BR90">
        <f>'Uncorrected Area Counts'!M92</f>
        <v>0</v>
      </c>
      <c r="BS90" t="e">
        <f>Yields!K92</f>
        <v>#DIV/0!</v>
      </c>
      <c r="BT90">
        <f>'Plate Planning'!$L$17</f>
        <v>0</v>
      </c>
      <c r="BU90">
        <f>'Plate Planning'!$M$17</f>
        <v>0</v>
      </c>
      <c r="BV90">
        <f>'Uncorrected Area Counts'!F92</f>
        <v>0</v>
      </c>
    </row>
    <row r="91" spans="1:74">
      <c r="A91" s="1">
        <v>90</v>
      </c>
      <c r="B91" s="1">
        <v>6</v>
      </c>
      <c r="C91" s="1">
        <v>8</v>
      </c>
      <c r="D91" s="1">
        <f>'Plate Planning'!$H$16</f>
        <v>0</v>
      </c>
      <c r="E91" s="1" t="str">
        <f>'Plate Planning'!$H$17</f>
        <v>LC-MS</v>
      </c>
      <c r="F91" s="1">
        <f>'Plate Planning'!$H$18</f>
        <v>500</v>
      </c>
      <c r="G91" s="1">
        <f>'Plate Planning'!$H$20</f>
        <v>25</v>
      </c>
      <c r="H91" s="1">
        <f>'Plate Planning'!$H$19</f>
        <v>24</v>
      </c>
      <c r="I91" s="1" t="b">
        <f>'Plate Planning'!$H$21</f>
        <v>1</v>
      </c>
      <c r="J91" s="1" t="str">
        <f>IF('Plate Planning'!$H$22=0, "NA",'Plate Planning'!$H$22)</f>
        <v>NA</v>
      </c>
      <c r="K91" s="1">
        <f>Reagents!$D$2</f>
        <v>0</v>
      </c>
      <c r="L91" s="1">
        <f>Reagents!$D$2</f>
        <v>0</v>
      </c>
      <c r="M91" s="1">
        <f>Reagents!$J$2</f>
        <v>0</v>
      </c>
      <c r="N91" s="1">
        <f>Reagents!$D$3</f>
        <v>0</v>
      </c>
      <c r="O91" s="1">
        <f>Reagents!$J$3</f>
        <v>0</v>
      </c>
      <c r="P91" s="1">
        <f>Reagents!$D$4</f>
        <v>0</v>
      </c>
      <c r="Q91" s="1">
        <f>Reagents!$J$4</f>
        <v>0</v>
      </c>
      <c r="R91" s="1">
        <f>Reagents!$D$5</f>
        <v>0</v>
      </c>
      <c r="S91" s="1">
        <f>Reagents!$J$5</f>
        <v>0</v>
      </c>
      <c r="T91" s="1">
        <f>Reagents!$D$6</f>
        <v>0</v>
      </c>
      <c r="U91" s="1">
        <f>Reagents!$J$6</f>
        <v>0</v>
      </c>
      <c r="V91" s="1">
        <f>Reagents!$D$7</f>
        <v>0</v>
      </c>
      <c r="W91" s="1">
        <f>Reagents!$J$7</f>
        <v>0</v>
      </c>
      <c r="X91" s="1">
        <f>Reagents!$D$8</f>
        <v>0</v>
      </c>
      <c r="Y91" s="1">
        <f>Reagents!$J$8</f>
        <v>0</v>
      </c>
      <c r="Z91" s="1">
        <f>Reagents!$D$9</f>
        <v>0</v>
      </c>
      <c r="AA91" s="1">
        <f>Reagents!$J$9</f>
        <v>0</v>
      </c>
      <c r="AB91" s="1">
        <f>Reagents!$D$10</f>
        <v>0</v>
      </c>
      <c r="AC91" s="1">
        <f>Reagents!$J$10</f>
        <v>0</v>
      </c>
      <c r="AD91" s="1">
        <f>Reagents!$D$11</f>
        <v>0</v>
      </c>
      <c r="AE91" s="1">
        <f>Reagents!$J$11</f>
        <v>0</v>
      </c>
      <c r="AF91" t="str">
        <f>Reagents!$C$17</f>
        <v>-</v>
      </c>
      <c r="AG91">
        <f>Reagents!$D$17</f>
        <v>0</v>
      </c>
      <c r="AH91">
        <f>Reagents!$J$17</f>
        <v>0</v>
      </c>
      <c r="AI91" t="str">
        <f>Reagents!$C$29</f>
        <v>-</v>
      </c>
      <c r="AJ91">
        <f>Reagents!$D$29</f>
        <v>0</v>
      </c>
      <c r="AK91">
        <f>Reagents!$J$29</f>
        <v>0</v>
      </c>
      <c r="AL91" t="str">
        <f>Reagents!$C$43</f>
        <v>-</v>
      </c>
      <c r="AM91">
        <f>Reagents!$D$43</f>
        <v>0</v>
      </c>
      <c r="AN91">
        <f>Reagents!$J$43</f>
        <v>0</v>
      </c>
      <c r="AO91" t="str">
        <f>Reagents!$C$51</f>
        <v>-</v>
      </c>
      <c r="AP91">
        <f>Reagents!$D$51</f>
        <v>0</v>
      </c>
      <c r="AQ91">
        <f>Reagents!$J$51</f>
        <v>0</v>
      </c>
      <c r="AR91">
        <f>'Plate Planning'!$K$18</f>
        <v>0</v>
      </c>
      <c r="AS91">
        <f>'Plate Planning'!$L$18</f>
        <v>0</v>
      </c>
      <c r="AT91">
        <f>'Uncorrected Area Counts'!G93</f>
        <v>0</v>
      </c>
      <c r="AU91" t="e">
        <f>Yields!E93</f>
        <v>#DIV/0!</v>
      </c>
      <c r="AV91">
        <f>'Plate Planning'!$K$19</f>
        <v>0</v>
      </c>
      <c r="AW91">
        <f>'Plate Planning'!$L$19</f>
        <v>0</v>
      </c>
      <c r="AX91">
        <f>'Uncorrected Area Counts'!H93</f>
        <v>0</v>
      </c>
      <c r="AY91" t="e">
        <f>Yields!F93</f>
        <v>#DIV/0!</v>
      </c>
      <c r="AZ91">
        <f>'Plate Planning'!$K$20</f>
        <v>0</v>
      </c>
      <c r="BA91">
        <f>'Plate Planning'!$L$20</f>
        <v>0</v>
      </c>
      <c r="BB91">
        <f>'Uncorrected Area Counts'!I93</f>
        <v>0</v>
      </c>
      <c r="BC91" t="e">
        <f>Yields!G93</f>
        <v>#DIV/0!</v>
      </c>
      <c r="BD91">
        <f>'Plate Planning'!$K$21</f>
        <v>0</v>
      </c>
      <c r="BE91">
        <f>'Plate Planning'!$L$21</f>
        <v>0</v>
      </c>
      <c r="BF91">
        <f>'Uncorrected Area Counts'!J93</f>
        <v>0</v>
      </c>
      <c r="BG91" t="e">
        <f>Yields!H93</f>
        <v>#DIV/0!</v>
      </c>
      <c r="BH91">
        <f>'Plate Planning'!$K$22</f>
        <v>0</v>
      </c>
      <c r="BI91">
        <f>'Plate Planning'!$L$22</f>
        <v>0</v>
      </c>
      <c r="BJ91">
        <f>'Uncorrected Area Counts'!K93</f>
        <v>0</v>
      </c>
      <c r="BK91" t="e">
        <f>Yields!I93</f>
        <v>#DIV/0!</v>
      </c>
      <c r="BL91">
        <f>'Plate Planning'!$K$23</f>
        <v>0</v>
      </c>
      <c r="BM91">
        <f>'Plate Planning'!$L$23</f>
        <v>0</v>
      </c>
      <c r="BN91">
        <f>'Uncorrected Area Counts'!L93</f>
        <v>0</v>
      </c>
      <c r="BO91" t="e">
        <f>Yields!J93</f>
        <v>#DIV/0!</v>
      </c>
      <c r="BP91">
        <f>'Plate Planning'!$K$24</f>
        <v>0</v>
      </c>
      <c r="BQ91">
        <f>'Plate Planning'!$L$24</f>
        <v>0</v>
      </c>
      <c r="BR91">
        <f>'Uncorrected Area Counts'!M93</f>
        <v>0</v>
      </c>
      <c r="BS91" t="e">
        <f>Yields!K93</f>
        <v>#DIV/0!</v>
      </c>
      <c r="BT91">
        <f>'Plate Planning'!$L$17</f>
        <v>0</v>
      </c>
      <c r="BU91">
        <f>'Plate Planning'!$M$17</f>
        <v>0</v>
      </c>
      <c r="BV91">
        <f>'Uncorrected Area Counts'!F93</f>
        <v>0</v>
      </c>
    </row>
    <row r="92" spans="1:74">
      <c r="A92" s="1">
        <v>91</v>
      </c>
      <c r="B92" s="1">
        <v>7</v>
      </c>
      <c r="C92" s="1">
        <v>8</v>
      </c>
      <c r="D92" s="1">
        <f>'Plate Planning'!$H$16</f>
        <v>0</v>
      </c>
      <c r="E92" s="1" t="str">
        <f>'Plate Planning'!$H$17</f>
        <v>LC-MS</v>
      </c>
      <c r="F92" s="1">
        <f>'Plate Planning'!$H$18</f>
        <v>500</v>
      </c>
      <c r="G92" s="1">
        <f>'Plate Planning'!$H$20</f>
        <v>25</v>
      </c>
      <c r="H92" s="1">
        <f>'Plate Planning'!$H$19</f>
        <v>24</v>
      </c>
      <c r="I92" s="1" t="b">
        <f>'Plate Planning'!$H$21</f>
        <v>1</v>
      </c>
      <c r="J92" s="1" t="str">
        <f>IF('Plate Planning'!$H$22=0, "NA",'Plate Planning'!$H$22)</f>
        <v>NA</v>
      </c>
      <c r="K92" s="1">
        <f>Reagents!$D$2</f>
        <v>0</v>
      </c>
      <c r="L92" s="1">
        <f>Reagents!$D$2</f>
        <v>0</v>
      </c>
      <c r="M92" s="1">
        <f>Reagents!$J$2</f>
        <v>0</v>
      </c>
      <c r="N92" s="1">
        <f>Reagents!$D$3</f>
        <v>0</v>
      </c>
      <c r="O92" s="1">
        <f>Reagents!$J$3</f>
        <v>0</v>
      </c>
      <c r="P92" s="1">
        <f>Reagents!$D$4</f>
        <v>0</v>
      </c>
      <c r="Q92" s="1">
        <f>Reagents!$J$4</f>
        <v>0</v>
      </c>
      <c r="R92" s="1">
        <f>Reagents!$D$5</f>
        <v>0</v>
      </c>
      <c r="S92" s="1">
        <f>Reagents!$J$5</f>
        <v>0</v>
      </c>
      <c r="T92" s="1">
        <f>Reagents!$D$6</f>
        <v>0</v>
      </c>
      <c r="U92" s="1">
        <f>Reagents!$J$6</f>
        <v>0</v>
      </c>
      <c r="V92" s="1">
        <f>Reagents!$D$7</f>
        <v>0</v>
      </c>
      <c r="W92" s="1">
        <f>Reagents!$J$7</f>
        <v>0</v>
      </c>
      <c r="X92" s="1">
        <f>Reagents!$D$8</f>
        <v>0</v>
      </c>
      <c r="Y92" s="1">
        <f>Reagents!$J$8</f>
        <v>0</v>
      </c>
      <c r="Z92" s="1">
        <f>Reagents!$D$9</f>
        <v>0</v>
      </c>
      <c r="AA92" s="1">
        <f>Reagents!$J$9</f>
        <v>0</v>
      </c>
      <c r="AB92" s="1">
        <f>Reagents!$D$10</f>
        <v>0</v>
      </c>
      <c r="AC92" s="1">
        <f>Reagents!$J$10</f>
        <v>0</v>
      </c>
      <c r="AD92" s="1">
        <f>Reagents!$D$11</f>
        <v>0</v>
      </c>
      <c r="AE92" s="1">
        <f>Reagents!$J$11</f>
        <v>0</v>
      </c>
      <c r="AF92" t="str">
        <f>Reagents!$C$18</f>
        <v>-</v>
      </c>
      <c r="AG92">
        <f>Reagents!$D$18</f>
        <v>0</v>
      </c>
      <c r="AH92">
        <f>Reagents!$J$18</f>
        <v>0</v>
      </c>
      <c r="AI92" t="str">
        <f>Reagents!$C$30</f>
        <v>-</v>
      </c>
      <c r="AJ92">
        <f>Reagents!$D$30</f>
        <v>0</v>
      </c>
      <c r="AK92">
        <f>Reagents!$J$30</f>
        <v>0</v>
      </c>
      <c r="AL92" t="str">
        <f>Reagents!$C$43</f>
        <v>-</v>
      </c>
      <c r="AM92">
        <f>Reagents!$D$43</f>
        <v>0</v>
      </c>
      <c r="AN92">
        <f>Reagents!$J$43</f>
        <v>0</v>
      </c>
      <c r="AO92" t="str">
        <f>Reagents!$C$51</f>
        <v>-</v>
      </c>
      <c r="AP92">
        <f>Reagents!$D$51</f>
        <v>0</v>
      </c>
      <c r="AQ92">
        <f>Reagents!$J$51</f>
        <v>0</v>
      </c>
      <c r="AR92">
        <f>'Plate Planning'!$K$18</f>
        <v>0</v>
      </c>
      <c r="AS92">
        <f>'Plate Planning'!$L$18</f>
        <v>0</v>
      </c>
      <c r="AT92">
        <f>'Uncorrected Area Counts'!G94</f>
        <v>0</v>
      </c>
      <c r="AU92" t="e">
        <f>Yields!E94</f>
        <v>#DIV/0!</v>
      </c>
      <c r="AV92">
        <f>'Plate Planning'!$K$19</f>
        <v>0</v>
      </c>
      <c r="AW92">
        <f>'Plate Planning'!$L$19</f>
        <v>0</v>
      </c>
      <c r="AX92">
        <f>'Uncorrected Area Counts'!H94</f>
        <v>0</v>
      </c>
      <c r="AY92" t="e">
        <f>Yields!F94</f>
        <v>#DIV/0!</v>
      </c>
      <c r="AZ92">
        <f>'Plate Planning'!$K$20</f>
        <v>0</v>
      </c>
      <c r="BA92">
        <f>'Plate Planning'!$L$20</f>
        <v>0</v>
      </c>
      <c r="BB92">
        <f>'Uncorrected Area Counts'!I94</f>
        <v>0</v>
      </c>
      <c r="BC92" t="e">
        <f>Yields!G94</f>
        <v>#DIV/0!</v>
      </c>
      <c r="BD92">
        <f>'Plate Planning'!$K$21</f>
        <v>0</v>
      </c>
      <c r="BE92">
        <f>'Plate Planning'!$L$21</f>
        <v>0</v>
      </c>
      <c r="BF92">
        <f>'Uncorrected Area Counts'!J94</f>
        <v>0</v>
      </c>
      <c r="BG92" t="e">
        <f>Yields!H94</f>
        <v>#DIV/0!</v>
      </c>
      <c r="BH92">
        <f>'Plate Planning'!$K$22</f>
        <v>0</v>
      </c>
      <c r="BI92">
        <f>'Plate Planning'!$L$22</f>
        <v>0</v>
      </c>
      <c r="BJ92">
        <f>'Uncorrected Area Counts'!K94</f>
        <v>0</v>
      </c>
      <c r="BK92" t="e">
        <f>Yields!I94</f>
        <v>#DIV/0!</v>
      </c>
      <c r="BL92">
        <f>'Plate Planning'!$K$23</f>
        <v>0</v>
      </c>
      <c r="BM92">
        <f>'Plate Planning'!$L$23</f>
        <v>0</v>
      </c>
      <c r="BN92">
        <f>'Uncorrected Area Counts'!L94</f>
        <v>0</v>
      </c>
      <c r="BO92" t="e">
        <f>Yields!J94</f>
        <v>#DIV/0!</v>
      </c>
      <c r="BP92">
        <f>'Plate Planning'!$K$24</f>
        <v>0</v>
      </c>
      <c r="BQ92">
        <f>'Plate Planning'!$L$24</f>
        <v>0</v>
      </c>
      <c r="BR92">
        <f>'Uncorrected Area Counts'!M94</f>
        <v>0</v>
      </c>
      <c r="BS92" t="e">
        <f>Yields!K94</f>
        <v>#DIV/0!</v>
      </c>
      <c r="BT92">
        <f>'Plate Planning'!$L$17</f>
        <v>0</v>
      </c>
      <c r="BU92">
        <f>'Plate Planning'!$M$17</f>
        <v>0</v>
      </c>
      <c r="BV92">
        <f>'Uncorrected Area Counts'!F94</f>
        <v>0</v>
      </c>
    </row>
    <row r="93" spans="1:74">
      <c r="A93" s="1">
        <v>92</v>
      </c>
      <c r="B93" s="1">
        <v>8</v>
      </c>
      <c r="C93" s="1">
        <v>8</v>
      </c>
      <c r="D93" s="1">
        <f>'Plate Planning'!$H$16</f>
        <v>0</v>
      </c>
      <c r="E93" s="1" t="str">
        <f>'Plate Planning'!$H$17</f>
        <v>LC-MS</v>
      </c>
      <c r="F93" s="1">
        <f>'Plate Planning'!$H$18</f>
        <v>500</v>
      </c>
      <c r="G93" s="1">
        <f>'Plate Planning'!$H$20</f>
        <v>25</v>
      </c>
      <c r="H93" s="1">
        <f>'Plate Planning'!$H$19</f>
        <v>24</v>
      </c>
      <c r="I93" s="1" t="b">
        <f>'Plate Planning'!$H$21</f>
        <v>1</v>
      </c>
      <c r="J93" s="1" t="str">
        <f>IF('Plate Planning'!$H$22=0, "NA",'Plate Planning'!$H$22)</f>
        <v>NA</v>
      </c>
      <c r="K93" s="1">
        <f>Reagents!$D$2</f>
        <v>0</v>
      </c>
      <c r="L93" s="1">
        <f>Reagents!$D$2</f>
        <v>0</v>
      </c>
      <c r="M93" s="1">
        <f>Reagents!$J$2</f>
        <v>0</v>
      </c>
      <c r="N93" s="1">
        <f>Reagents!$D$3</f>
        <v>0</v>
      </c>
      <c r="O93" s="1">
        <f>Reagents!$J$3</f>
        <v>0</v>
      </c>
      <c r="P93" s="1">
        <f>Reagents!$D$4</f>
        <v>0</v>
      </c>
      <c r="Q93" s="1">
        <f>Reagents!$J$4</f>
        <v>0</v>
      </c>
      <c r="R93" s="1">
        <f>Reagents!$D$5</f>
        <v>0</v>
      </c>
      <c r="S93" s="1">
        <f>Reagents!$J$5</f>
        <v>0</v>
      </c>
      <c r="T93" s="1">
        <f>Reagents!$D$6</f>
        <v>0</v>
      </c>
      <c r="U93" s="1">
        <f>Reagents!$J$6</f>
        <v>0</v>
      </c>
      <c r="V93" s="1">
        <f>Reagents!$D$7</f>
        <v>0</v>
      </c>
      <c r="W93" s="1">
        <f>Reagents!$J$7</f>
        <v>0</v>
      </c>
      <c r="X93" s="1">
        <f>Reagents!$D$8</f>
        <v>0</v>
      </c>
      <c r="Y93" s="1">
        <f>Reagents!$J$8</f>
        <v>0</v>
      </c>
      <c r="Z93" s="1">
        <f>Reagents!$D$9</f>
        <v>0</v>
      </c>
      <c r="AA93" s="1">
        <f>Reagents!$J$9</f>
        <v>0</v>
      </c>
      <c r="AB93" s="1">
        <f>Reagents!$D$10</f>
        <v>0</v>
      </c>
      <c r="AC93" s="1">
        <f>Reagents!$J$10</f>
        <v>0</v>
      </c>
      <c r="AD93" s="1">
        <f>Reagents!$D$11</f>
        <v>0</v>
      </c>
      <c r="AE93" s="1">
        <f>Reagents!$J$11</f>
        <v>0</v>
      </c>
      <c r="AF93" t="str">
        <f>Reagents!$C$19</f>
        <v>-</v>
      </c>
      <c r="AG93">
        <f>Reagents!$D$19</f>
        <v>0</v>
      </c>
      <c r="AH93">
        <f>Reagents!$J$19</f>
        <v>0</v>
      </c>
      <c r="AI93" t="str">
        <f>Reagents!$C$31</f>
        <v>-</v>
      </c>
      <c r="AJ93">
        <f>Reagents!$D$31</f>
        <v>0</v>
      </c>
      <c r="AK93">
        <f>Reagents!$J$31</f>
        <v>0</v>
      </c>
      <c r="AL93" t="str">
        <f>Reagents!$C$43</f>
        <v>-</v>
      </c>
      <c r="AM93">
        <f>Reagents!$D$43</f>
        <v>0</v>
      </c>
      <c r="AN93">
        <f>Reagents!$J$43</f>
        <v>0</v>
      </c>
      <c r="AO93" t="str">
        <f>Reagents!$C$51</f>
        <v>-</v>
      </c>
      <c r="AP93">
        <f>Reagents!$D$51</f>
        <v>0</v>
      </c>
      <c r="AQ93">
        <f>Reagents!$J$51</f>
        <v>0</v>
      </c>
      <c r="AR93">
        <f>'Plate Planning'!$K$18</f>
        <v>0</v>
      </c>
      <c r="AS93">
        <f>'Plate Planning'!$L$18</f>
        <v>0</v>
      </c>
      <c r="AT93">
        <f>'Uncorrected Area Counts'!G95</f>
        <v>0</v>
      </c>
      <c r="AU93" t="e">
        <f>Yields!E95</f>
        <v>#DIV/0!</v>
      </c>
      <c r="AV93">
        <f>'Plate Planning'!$K$19</f>
        <v>0</v>
      </c>
      <c r="AW93">
        <f>'Plate Planning'!$L$19</f>
        <v>0</v>
      </c>
      <c r="AX93">
        <f>'Uncorrected Area Counts'!H95</f>
        <v>0</v>
      </c>
      <c r="AY93" t="e">
        <f>Yields!F95</f>
        <v>#DIV/0!</v>
      </c>
      <c r="AZ93">
        <f>'Plate Planning'!$K$20</f>
        <v>0</v>
      </c>
      <c r="BA93">
        <f>'Plate Planning'!$L$20</f>
        <v>0</v>
      </c>
      <c r="BB93">
        <f>'Uncorrected Area Counts'!I95</f>
        <v>0</v>
      </c>
      <c r="BC93" t="e">
        <f>Yields!G95</f>
        <v>#DIV/0!</v>
      </c>
      <c r="BD93">
        <f>'Plate Planning'!$K$21</f>
        <v>0</v>
      </c>
      <c r="BE93">
        <f>'Plate Planning'!$L$21</f>
        <v>0</v>
      </c>
      <c r="BF93">
        <f>'Uncorrected Area Counts'!J95</f>
        <v>0</v>
      </c>
      <c r="BG93" t="e">
        <f>Yields!H95</f>
        <v>#DIV/0!</v>
      </c>
      <c r="BH93">
        <f>'Plate Planning'!$K$22</f>
        <v>0</v>
      </c>
      <c r="BI93">
        <f>'Plate Planning'!$L$22</f>
        <v>0</v>
      </c>
      <c r="BJ93">
        <f>'Uncorrected Area Counts'!K95</f>
        <v>0</v>
      </c>
      <c r="BK93" t="e">
        <f>Yields!I95</f>
        <v>#DIV/0!</v>
      </c>
      <c r="BL93">
        <f>'Plate Planning'!$K$23</f>
        <v>0</v>
      </c>
      <c r="BM93">
        <f>'Plate Planning'!$L$23</f>
        <v>0</v>
      </c>
      <c r="BN93">
        <f>'Uncorrected Area Counts'!L95</f>
        <v>0</v>
      </c>
      <c r="BO93" t="e">
        <f>Yields!J95</f>
        <v>#DIV/0!</v>
      </c>
      <c r="BP93">
        <f>'Plate Planning'!$K$24</f>
        <v>0</v>
      </c>
      <c r="BQ93">
        <f>'Plate Planning'!$L$24</f>
        <v>0</v>
      </c>
      <c r="BR93">
        <f>'Uncorrected Area Counts'!M95</f>
        <v>0</v>
      </c>
      <c r="BS93" t="e">
        <f>Yields!K95</f>
        <v>#DIV/0!</v>
      </c>
      <c r="BT93">
        <f>'Plate Planning'!$L$17</f>
        <v>0</v>
      </c>
      <c r="BU93">
        <f>'Plate Planning'!$M$17</f>
        <v>0</v>
      </c>
      <c r="BV93">
        <f>'Uncorrected Area Counts'!F95</f>
        <v>0</v>
      </c>
    </row>
    <row r="94" spans="1:74">
      <c r="A94" s="1">
        <v>93</v>
      </c>
      <c r="B94" s="1">
        <v>9</v>
      </c>
      <c r="C94" s="1">
        <v>8</v>
      </c>
      <c r="D94" s="1">
        <f>'Plate Planning'!$H$16</f>
        <v>0</v>
      </c>
      <c r="E94" s="1" t="str">
        <f>'Plate Planning'!$H$17</f>
        <v>LC-MS</v>
      </c>
      <c r="F94" s="1">
        <f>'Plate Planning'!$H$18</f>
        <v>500</v>
      </c>
      <c r="G94" s="1">
        <f>'Plate Planning'!$H$20</f>
        <v>25</v>
      </c>
      <c r="H94" s="1">
        <f>'Plate Planning'!$H$19</f>
        <v>24</v>
      </c>
      <c r="I94" s="1" t="b">
        <f>'Plate Planning'!$H$21</f>
        <v>1</v>
      </c>
      <c r="J94" s="1" t="str">
        <f>IF('Plate Planning'!$H$22=0, "NA",'Plate Planning'!$H$22)</f>
        <v>NA</v>
      </c>
      <c r="K94" s="1">
        <f>Reagents!$D$2</f>
        <v>0</v>
      </c>
      <c r="L94" s="1">
        <f>Reagents!$D$2</f>
        <v>0</v>
      </c>
      <c r="M94" s="1">
        <f>Reagents!$J$2</f>
        <v>0</v>
      </c>
      <c r="N94" s="1">
        <f>Reagents!$D$3</f>
        <v>0</v>
      </c>
      <c r="O94" s="1">
        <f>Reagents!$J$3</f>
        <v>0</v>
      </c>
      <c r="P94" s="1">
        <f>Reagents!$D$4</f>
        <v>0</v>
      </c>
      <c r="Q94" s="1">
        <f>Reagents!$J$4</f>
        <v>0</v>
      </c>
      <c r="R94" s="1">
        <f>Reagents!$D$5</f>
        <v>0</v>
      </c>
      <c r="S94" s="1">
        <f>Reagents!$J$5</f>
        <v>0</v>
      </c>
      <c r="T94" s="1">
        <f>Reagents!$D$6</f>
        <v>0</v>
      </c>
      <c r="U94" s="1">
        <f>Reagents!$J$6</f>
        <v>0</v>
      </c>
      <c r="V94" s="1">
        <f>Reagents!$D$7</f>
        <v>0</v>
      </c>
      <c r="W94" s="1">
        <f>Reagents!$J$7</f>
        <v>0</v>
      </c>
      <c r="X94" s="1">
        <f>Reagents!$D$8</f>
        <v>0</v>
      </c>
      <c r="Y94" s="1">
        <f>Reagents!$J$8</f>
        <v>0</v>
      </c>
      <c r="Z94" s="1">
        <f>Reagents!$D$9</f>
        <v>0</v>
      </c>
      <c r="AA94" s="1">
        <f>Reagents!$J$9</f>
        <v>0</v>
      </c>
      <c r="AB94" s="1">
        <f>Reagents!$D$10</f>
        <v>0</v>
      </c>
      <c r="AC94" s="1">
        <f>Reagents!$J$10</f>
        <v>0</v>
      </c>
      <c r="AD94" s="1">
        <f>Reagents!$D$11</f>
        <v>0</v>
      </c>
      <c r="AE94" s="1">
        <f>Reagents!$J$11</f>
        <v>0</v>
      </c>
      <c r="AF94" t="str">
        <f>Reagents!$C$20</f>
        <v>-</v>
      </c>
      <c r="AG94">
        <f>Reagents!$D$20</f>
        <v>0</v>
      </c>
      <c r="AH94">
        <f>Reagents!$J$20</f>
        <v>0</v>
      </c>
      <c r="AI94" t="str">
        <f>Reagents!$C$32</f>
        <v>-</v>
      </c>
      <c r="AJ94">
        <f>Reagents!$D$32</f>
        <v>0</v>
      </c>
      <c r="AK94">
        <f>Reagents!$J$32</f>
        <v>0</v>
      </c>
      <c r="AL94" t="str">
        <f>Reagents!$C$43</f>
        <v>-</v>
      </c>
      <c r="AM94">
        <f>Reagents!$D$43</f>
        <v>0</v>
      </c>
      <c r="AN94">
        <f>Reagents!$J$43</f>
        <v>0</v>
      </c>
      <c r="AO94" t="str">
        <f>Reagents!$C$51</f>
        <v>-</v>
      </c>
      <c r="AP94">
        <f>Reagents!$D$51</f>
        <v>0</v>
      </c>
      <c r="AQ94">
        <f>Reagents!$J$51</f>
        <v>0</v>
      </c>
      <c r="AR94">
        <f>'Plate Planning'!$K$18</f>
        <v>0</v>
      </c>
      <c r="AS94">
        <f>'Plate Planning'!$L$18</f>
        <v>0</v>
      </c>
      <c r="AT94">
        <f>'Uncorrected Area Counts'!G96</f>
        <v>0</v>
      </c>
      <c r="AU94" t="e">
        <f>Yields!E96</f>
        <v>#DIV/0!</v>
      </c>
      <c r="AV94">
        <f>'Plate Planning'!$K$19</f>
        <v>0</v>
      </c>
      <c r="AW94">
        <f>'Plate Planning'!$L$19</f>
        <v>0</v>
      </c>
      <c r="AX94">
        <f>'Uncorrected Area Counts'!H96</f>
        <v>0</v>
      </c>
      <c r="AY94" t="e">
        <f>Yields!F96</f>
        <v>#DIV/0!</v>
      </c>
      <c r="AZ94">
        <f>'Plate Planning'!$K$20</f>
        <v>0</v>
      </c>
      <c r="BA94">
        <f>'Plate Planning'!$L$20</f>
        <v>0</v>
      </c>
      <c r="BB94">
        <f>'Uncorrected Area Counts'!I96</f>
        <v>0</v>
      </c>
      <c r="BC94" t="e">
        <f>Yields!G96</f>
        <v>#DIV/0!</v>
      </c>
      <c r="BD94">
        <f>'Plate Planning'!$K$21</f>
        <v>0</v>
      </c>
      <c r="BE94">
        <f>'Plate Planning'!$L$21</f>
        <v>0</v>
      </c>
      <c r="BF94">
        <f>'Uncorrected Area Counts'!J96</f>
        <v>0</v>
      </c>
      <c r="BG94" t="e">
        <f>Yields!H96</f>
        <v>#DIV/0!</v>
      </c>
      <c r="BH94">
        <f>'Plate Planning'!$K$22</f>
        <v>0</v>
      </c>
      <c r="BI94">
        <f>'Plate Planning'!$L$22</f>
        <v>0</v>
      </c>
      <c r="BJ94">
        <f>'Uncorrected Area Counts'!K96</f>
        <v>0</v>
      </c>
      <c r="BK94" t="e">
        <f>Yields!I96</f>
        <v>#DIV/0!</v>
      </c>
      <c r="BL94">
        <f>'Plate Planning'!$K$23</f>
        <v>0</v>
      </c>
      <c r="BM94">
        <f>'Plate Planning'!$L$23</f>
        <v>0</v>
      </c>
      <c r="BN94">
        <f>'Uncorrected Area Counts'!L96</f>
        <v>0</v>
      </c>
      <c r="BO94" t="e">
        <f>Yields!J96</f>
        <v>#DIV/0!</v>
      </c>
      <c r="BP94">
        <f>'Plate Planning'!$K$24</f>
        <v>0</v>
      </c>
      <c r="BQ94">
        <f>'Plate Planning'!$L$24</f>
        <v>0</v>
      </c>
      <c r="BR94">
        <f>'Uncorrected Area Counts'!M96</f>
        <v>0</v>
      </c>
      <c r="BS94" t="e">
        <f>Yields!K96</f>
        <v>#DIV/0!</v>
      </c>
      <c r="BT94">
        <f>'Plate Planning'!$L$17</f>
        <v>0</v>
      </c>
      <c r="BU94">
        <f>'Plate Planning'!$M$17</f>
        <v>0</v>
      </c>
      <c r="BV94">
        <f>'Uncorrected Area Counts'!F96</f>
        <v>0</v>
      </c>
    </row>
    <row r="95" spans="1:74">
      <c r="A95" s="1">
        <v>94</v>
      </c>
      <c r="B95" s="1">
        <v>10</v>
      </c>
      <c r="C95" s="1">
        <v>8</v>
      </c>
      <c r="D95" s="1">
        <f>'Plate Planning'!$H$16</f>
        <v>0</v>
      </c>
      <c r="E95" s="1" t="str">
        <f>'Plate Planning'!$H$17</f>
        <v>LC-MS</v>
      </c>
      <c r="F95" s="1">
        <f>'Plate Planning'!$H$18</f>
        <v>500</v>
      </c>
      <c r="G95" s="1">
        <f>'Plate Planning'!$H$20</f>
        <v>25</v>
      </c>
      <c r="H95" s="1">
        <f>'Plate Planning'!$H$19</f>
        <v>24</v>
      </c>
      <c r="I95" s="1" t="b">
        <f>'Plate Planning'!$H$21</f>
        <v>1</v>
      </c>
      <c r="J95" s="1" t="str">
        <f>IF('Plate Planning'!$H$22=0, "NA",'Plate Planning'!$H$22)</f>
        <v>NA</v>
      </c>
      <c r="K95" s="1">
        <f>Reagents!$D$2</f>
        <v>0</v>
      </c>
      <c r="L95" s="1">
        <f>Reagents!$D$2</f>
        <v>0</v>
      </c>
      <c r="M95" s="1">
        <f>Reagents!$J$2</f>
        <v>0</v>
      </c>
      <c r="N95" s="1">
        <f>Reagents!$D$3</f>
        <v>0</v>
      </c>
      <c r="O95" s="1">
        <f>Reagents!$J$3</f>
        <v>0</v>
      </c>
      <c r="P95" s="1">
        <f>Reagents!$D$4</f>
        <v>0</v>
      </c>
      <c r="Q95" s="1">
        <f>Reagents!$J$4</f>
        <v>0</v>
      </c>
      <c r="R95" s="1">
        <f>Reagents!$D$5</f>
        <v>0</v>
      </c>
      <c r="S95" s="1">
        <f>Reagents!$J$5</f>
        <v>0</v>
      </c>
      <c r="T95" s="1">
        <f>Reagents!$D$6</f>
        <v>0</v>
      </c>
      <c r="U95" s="1">
        <f>Reagents!$J$6</f>
        <v>0</v>
      </c>
      <c r="V95" s="1">
        <f>Reagents!$D$7</f>
        <v>0</v>
      </c>
      <c r="W95" s="1">
        <f>Reagents!$J$7</f>
        <v>0</v>
      </c>
      <c r="X95" s="1">
        <f>Reagents!$D$8</f>
        <v>0</v>
      </c>
      <c r="Y95" s="1">
        <f>Reagents!$J$8</f>
        <v>0</v>
      </c>
      <c r="Z95" s="1">
        <f>Reagents!$D$9</f>
        <v>0</v>
      </c>
      <c r="AA95" s="1">
        <f>Reagents!$J$9</f>
        <v>0</v>
      </c>
      <c r="AB95" s="1">
        <f>Reagents!$D$10</f>
        <v>0</v>
      </c>
      <c r="AC95" s="1">
        <f>Reagents!$J$10</f>
        <v>0</v>
      </c>
      <c r="AD95" s="1">
        <f>Reagents!$D$11</f>
        <v>0</v>
      </c>
      <c r="AE95" s="1">
        <f>Reagents!$J$11</f>
        <v>0</v>
      </c>
      <c r="AF95" t="str">
        <f>Reagents!$C$21</f>
        <v>-</v>
      </c>
      <c r="AG95">
        <f>Reagents!$D$21</f>
        <v>0</v>
      </c>
      <c r="AH95">
        <f>Reagents!$J$21</f>
        <v>0</v>
      </c>
      <c r="AI95" t="str">
        <f>Reagents!$C$33</f>
        <v>-</v>
      </c>
      <c r="AJ95">
        <f>Reagents!$D$33</f>
        <v>0</v>
      </c>
      <c r="AK95">
        <f>Reagents!$J$33</f>
        <v>0</v>
      </c>
      <c r="AL95" t="str">
        <f>Reagents!$C$43</f>
        <v>-</v>
      </c>
      <c r="AM95">
        <f>Reagents!$D$43</f>
        <v>0</v>
      </c>
      <c r="AN95">
        <f>Reagents!$J$43</f>
        <v>0</v>
      </c>
      <c r="AO95" t="str">
        <f>Reagents!$C$51</f>
        <v>-</v>
      </c>
      <c r="AP95">
        <f>Reagents!$D$51</f>
        <v>0</v>
      </c>
      <c r="AQ95">
        <f>Reagents!$J$51</f>
        <v>0</v>
      </c>
      <c r="AR95">
        <f>'Plate Planning'!$K$18</f>
        <v>0</v>
      </c>
      <c r="AS95">
        <f>'Plate Planning'!$L$18</f>
        <v>0</v>
      </c>
      <c r="AT95">
        <f>'Uncorrected Area Counts'!G97</f>
        <v>0</v>
      </c>
      <c r="AU95" t="e">
        <f>Yields!E97</f>
        <v>#DIV/0!</v>
      </c>
      <c r="AV95">
        <f>'Plate Planning'!$K$19</f>
        <v>0</v>
      </c>
      <c r="AW95">
        <f>'Plate Planning'!$L$19</f>
        <v>0</v>
      </c>
      <c r="AX95">
        <f>'Uncorrected Area Counts'!H97</f>
        <v>0</v>
      </c>
      <c r="AY95" t="e">
        <f>Yields!F97</f>
        <v>#DIV/0!</v>
      </c>
      <c r="AZ95">
        <f>'Plate Planning'!$K$20</f>
        <v>0</v>
      </c>
      <c r="BA95">
        <f>'Plate Planning'!$L$20</f>
        <v>0</v>
      </c>
      <c r="BB95">
        <f>'Uncorrected Area Counts'!I97</f>
        <v>0</v>
      </c>
      <c r="BC95" t="e">
        <f>Yields!G97</f>
        <v>#DIV/0!</v>
      </c>
      <c r="BD95">
        <f>'Plate Planning'!$K$21</f>
        <v>0</v>
      </c>
      <c r="BE95">
        <f>'Plate Planning'!$L$21</f>
        <v>0</v>
      </c>
      <c r="BF95">
        <f>'Uncorrected Area Counts'!J97</f>
        <v>0</v>
      </c>
      <c r="BG95" t="e">
        <f>Yields!H97</f>
        <v>#DIV/0!</v>
      </c>
      <c r="BH95">
        <f>'Plate Planning'!$K$22</f>
        <v>0</v>
      </c>
      <c r="BI95">
        <f>'Plate Planning'!$L$22</f>
        <v>0</v>
      </c>
      <c r="BJ95">
        <f>'Uncorrected Area Counts'!K97</f>
        <v>0</v>
      </c>
      <c r="BK95" t="e">
        <f>Yields!I97</f>
        <v>#DIV/0!</v>
      </c>
      <c r="BL95">
        <f>'Plate Planning'!$K$23</f>
        <v>0</v>
      </c>
      <c r="BM95">
        <f>'Plate Planning'!$L$23</f>
        <v>0</v>
      </c>
      <c r="BN95">
        <f>'Uncorrected Area Counts'!L97</f>
        <v>0</v>
      </c>
      <c r="BO95" t="e">
        <f>Yields!J97</f>
        <v>#DIV/0!</v>
      </c>
      <c r="BP95">
        <f>'Plate Planning'!$K$24</f>
        <v>0</v>
      </c>
      <c r="BQ95">
        <f>'Plate Planning'!$L$24</f>
        <v>0</v>
      </c>
      <c r="BR95">
        <f>'Uncorrected Area Counts'!M97</f>
        <v>0</v>
      </c>
      <c r="BS95" t="e">
        <f>Yields!K97</f>
        <v>#DIV/0!</v>
      </c>
      <c r="BT95">
        <f>'Plate Planning'!$L$17</f>
        <v>0</v>
      </c>
      <c r="BU95">
        <f>'Plate Planning'!$M$17</f>
        <v>0</v>
      </c>
      <c r="BV95">
        <f>'Uncorrected Area Counts'!F97</f>
        <v>0</v>
      </c>
    </row>
    <row r="96" spans="1:74">
      <c r="A96" s="1">
        <v>95</v>
      </c>
      <c r="B96" s="1">
        <v>11</v>
      </c>
      <c r="C96" s="1">
        <v>8</v>
      </c>
      <c r="D96" s="1">
        <f>'Plate Planning'!$H$16</f>
        <v>0</v>
      </c>
      <c r="E96" s="1" t="str">
        <f>'Plate Planning'!$H$17</f>
        <v>LC-MS</v>
      </c>
      <c r="F96" s="1">
        <f>'Plate Planning'!$H$18</f>
        <v>500</v>
      </c>
      <c r="G96" s="1">
        <f>'Plate Planning'!$H$20</f>
        <v>25</v>
      </c>
      <c r="H96" s="1">
        <f>'Plate Planning'!$H$19</f>
        <v>24</v>
      </c>
      <c r="I96" s="1" t="b">
        <f>'Plate Planning'!$H$21</f>
        <v>1</v>
      </c>
      <c r="J96" s="1" t="str">
        <f>IF('Plate Planning'!$H$22=0, "NA",'Plate Planning'!$H$22)</f>
        <v>NA</v>
      </c>
      <c r="K96" s="1">
        <f>Reagents!$D$2</f>
        <v>0</v>
      </c>
      <c r="L96" s="1">
        <f>Reagents!$D$2</f>
        <v>0</v>
      </c>
      <c r="M96" s="1">
        <f>Reagents!$J$2</f>
        <v>0</v>
      </c>
      <c r="N96" s="1">
        <f>Reagents!$D$3</f>
        <v>0</v>
      </c>
      <c r="O96" s="1">
        <f>Reagents!$J$3</f>
        <v>0</v>
      </c>
      <c r="P96" s="1">
        <f>Reagents!$D$4</f>
        <v>0</v>
      </c>
      <c r="Q96" s="1">
        <f>Reagents!$J$4</f>
        <v>0</v>
      </c>
      <c r="R96" s="1">
        <f>Reagents!$D$5</f>
        <v>0</v>
      </c>
      <c r="S96" s="1">
        <f>Reagents!$J$5</f>
        <v>0</v>
      </c>
      <c r="T96" s="1">
        <f>Reagents!$D$6</f>
        <v>0</v>
      </c>
      <c r="U96" s="1">
        <f>Reagents!$J$6</f>
        <v>0</v>
      </c>
      <c r="V96" s="1">
        <f>Reagents!$D$7</f>
        <v>0</v>
      </c>
      <c r="W96" s="1">
        <f>Reagents!$J$7</f>
        <v>0</v>
      </c>
      <c r="X96" s="1">
        <f>Reagents!$D$8</f>
        <v>0</v>
      </c>
      <c r="Y96" s="1">
        <f>Reagents!$J$8</f>
        <v>0</v>
      </c>
      <c r="Z96" s="1">
        <f>Reagents!$D$9</f>
        <v>0</v>
      </c>
      <c r="AA96" s="1">
        <f>Reagents!$J$9</f>
        <v>0</v>
      </c>
      <c r="AB96" s="1">
        <f>Reagents!$D$10</f>
        <v>0</v>
      </c>
      <c r="AC96" s="1">
        <f>Reagents!$J$10</f>
        <v>0</v>
      </c>
      <c r="AD96" s="1">
        <f>Reagents!$D$11</f>
        <v>0</v>
      </c>
      <c r="AE96" s="1">
        <f>Reagents!$J$11</f>
        <v>0</v>
      </c>
      <c r="AF96" t="str">
        <f>Reagents!$C$22</f>
        <v>-</v>
      </c>
      <c r="AG96">
        <f>Reagents!$D$22</f>
        <v>0</v>
      </c>
      <c r="AH96">
        <f>Reagents!$J$22</f>
        <v>0</v>
      </c>
      <c r="AI96" t="str">
        <f>Reagents!$C$34</f>
        <v>-</v>
      </c>
      <c r="AJ96">
        <f>Reagents!$D$34</f>
        <v>0</v>
      </c>
      <c r="AK96">
        <f>Reagents!$J$34</f>
        <v>0</v>
      </c>
      <c r="AL96" t="str">
        <f>Reagents!$C$43</f>
        <v>-</v>
      </c>
      <c r="AM96">
        <f>Reagents!$D$43</f>
        <v>0</v>
      </c>
      <c r="AN96">
        <f>Reagents!$J$43</f>
        <v>0</v>
      </c>
      <c r="AO96" t="str">
        <f>Reagents!$C$51</f>
        <v>-</v>
      </c>
      <c r="AP96">
        <f>Reagents!$D$51</f>
        <v>0</v>
      </c>
      <c r="AQ96">
        <f>Reagents!$J$51</f>
        <v>0</v>
      </c>
      <c r="AR96">
        <f>'Plate Planning'!$K$18</f>
        <v>0</v>
      </c>
      <c r="AS96">
        <f>'Plate Planning'!$L$18</f>
        <v>0</v>
      </c>
      <c r="AT96">
        <f>'Uncorrected Area Counts'!G98</f>
        <v>0</v>
      </c>
      <c r="AU96" t="e">
        <f>Yields!E98</f>
        <v>#DIV/0!</v>
      </c>
      <c r="AV96">
        <f>'Plate Planning'!$K$19</f>
        <v>0</v>
      </c>
      <c r="AW96">
        <f>'Plate Planning'!$L$19</f>
        <v>0</v>
      </c>
      <c r="AX96">
        <f>'Uncorrected Area Counts'!H98</f>
        <v>0</v>
      </c>
      <c r="AY96" t="e">
        <f>Yields!F98</f>
        <v>#DIV/0!</v>
      </c>
      <c r="AZ96">
        <f>'Plate Planning'!$K$20</f>
        <v>0</v>
      </c>
      <c r="BA96">
        <f>'Plate Planning'!$L$20</f>
        <v>0</v>
      </c>
      <c r="BB96">
        <f>'Uncorrected Area Counts'!I98</f>
        <v>0</v>
      </c>
      <c r="BC96" t="e">
        <f>Yields!G98</f>
        <v>#DIV/0!</v>
      </c>
      <c r="BD96">
        <f>'Plate Planning'!$K$21</f>
        <v>0</v>
      </c>
      <c r="BE96">
        <f>'Plate Planning'!$L$21</f>
        <v>0</v>
      </c>
      <c r="BF96">
        <f>'Uncorrected Area Counts'!J98</f>
        <v>0</v>
      </c>
      <c r="BG96" t="e">
        <f>Yields!H98</f>
        <v>#DIV/0!</v>
      </c>
      <c r="BH96">
        <f>'Plate Planning'!$K$22</f>
        <v>0</v>
      </c>
      <c r="BI96">
        <f>'Plate Planning'!$L$22</f>
        <v>0</v>
      </c>
      <c r="BJ96">
        <f>'Uncorrected Area Counts'!K98</f>
        <v>0</v>
      </c>
      <c r="BK96" t="e">
        <f>Yields!I98</f>
        <v>#DIV/0!</v>
      </c>
      <c r="BL96">
        <f>'Plate Planning'!$K$23</f>
        <v>0</v>
      </c>
      <c r="BM96">
        <f>'Plate Planning'!$L$23</f>
        <v>0</v>
      </c>
      <c r="BN96">
        <f>'Uncorrected Area Counts'!L98</f>
        <v>0</v>
      </c>
      <c r="BO96" t="e">
        <f>Yields!J98</f>
        <v>#DIV/0!</v>
      </c>
      <c r="BP96">
        <f>'Plate Planning'!$K$24</f>
        <v>0</v>
      </c>
      <c r="BQ96">
        <f>'Plate Planning'!$L$24</f>
        <v>0</v>
      </c>
      <c r="BR96">
        <f>'Uncorrected Area Counts'!M98</f>
        <v>0</v>
      </c>
      <c r="BS96" t="e">
        <f>Yields!K98</f>
        <v>#DIV/0!</v>
      </c>
      <c r="BT96">
        <f>'Plate Planning'!$L$17</f>
        <v>0</v>
      </c>
      <c r="BU96">
        <f>'Plate Planning'!$M$17</f>
        <v>0</v>
      </c>
      <c r="BV96">
        <f>'Uncorrected Area Counts'!F98</f>
        <v>0</v>
      </c>
    </row>
    <row r="97" spans="1:74">
      <c r="A97" s="1">
        <v>96</v>
      </c>
      <c r="B97" s="1">
        <v>12</v>
      </c>
      <c r="C97" s="1">
        <v>8</v>
      </c>
      <c r="D97" s="1">
        <f>'Plate Planning'!$H$16</f>
        <v>0</v>
      </c>
      <c r="E97" s="1" t="str">
        <f>'Plate Planning'!$H$17</f>
        <v>LC-MS</v>
      </c>
      <c r="F97" s="1">
        <f>'Plate Planning'!$H$18</f>
        <v>500</v>
      </c>
      <c r="G97" s="1">
        <f>'Plate Planning'!$H$20</f>
        <v>25</v>
      </c>
      <c r="H97" s="1">
        <f>'Plate Planning'!$H$19</f>
        <v>24</v>
      </c>
      <c r="I97" s="1" t="b">
        <f>'Plate Planning'!$H$21</f>
        <v>1</v>
      </c>
      <c r="J97" s="1" t="str">
        <f>IF('Plate Planning'!$H$22=0, "NA",'Plate Planning'!$H$22)</f>
        <v>NA</v>
      </c>
      <c r="K97" s="1">
        <f>Reagents!$D$2</f>
        <v>0</v>
      </c>
      <c r="L97" s="1">
        <f>Reagents!$D$2</f>
        <v>0</v>
      </c>
      <c r="M97" s="1">
        <f>Reagents!$J$2</f>
        <v>0</v>
      </c>
      <c r="N97" s="1">
        <f>Reagents!$D$3</f>
        <v>0</v>
      </c>
      <c r="O97" s="1">
        <f>Reagents!$J$3</f>
        <v>0</v>
      </c>
      <c r="P97" s="1">
        <f>Reagents!$D$4</f>
        <v>0</v>
      </c>
      <c r="Q97" s="1">
        <f>Reagents!$J$4</f>
        <v>0</v>
      </c>
      <c r="R97" s="1">
        <f>Reagents!$D$5</f>
        <v>0</v>
      </c>
      <c r="S97" s="1">
        <f>Reagents!$J$5</f>
        <v>0</v>
      </c>
      <c r="T97" s="1">
        <f>Reagents!$D$6</f>
        <v>0</v>
      </c>
      <c r="U97" s="1">
        <f>Reagents!$J$6</f>
        <v>0</v>
      </c>
      <c r="V97" s="1">
        <f>Reagents!$D$7</f>
        <v>0</v>
      </c>
      <c r="W97" s="1">
        <f>Reagents!$J$7</f>
        <v>0</v>
      </c>
      <c r="X97" s="1">
        <f>Reagents!$D$8</f>
        <v>0</v>
      </c>
      <c r="Y97" s="1">
        <f>Reagents!$J$8</f>
        <v>0</v>
      </c>
      <c r="Z97" s="1">
        <f>Reagents!$D$9</f>
        <v>0</v>
      </c>
      <c r="AA97" s="1">
        <f>Reagents!$J$9</f>
        <v>0</v>
      </c>
      <c r="AB97" s="1">
        <f>Reagents!$D$10</f>
        <v>0</v>
      </c>
      <c r="AC97" s="1">
        <f>Reagents!$J$10</f>
        <v>0</v>
      </c>
      <c r="AD97" s="1">
        <f>Reagents!$D$11</f>
        <v>0</v>
      </c>
      <c r="AE97" s="1">
        <f>Reagents!$J$11</f>
        <v>0</v>
      </c>
      <c r="AF97" t="str">
        <f>Reagents!$C$23</f>
        <v>-</v>
      </c>
      <c r="AG97">
        <f>Reagents!$D$23</f>
        <v>0</v>
      </c>
      <c r="AH97">
        <f>Reagents!$J$23</f>
        <v>0</v>
      </c>
      <c r="AI97" t="str">
        <f>Reagents!$C$35</f>
        <v>-</v>
      </c>
      <c r="AJ97">
        <f>Reagents!$D$35</f>
        <v>0</v>
      </c>
      <c r="AK97">
        <f>Reagents!$J$35</f>
        <v>0</v>
      </c>
      <c r="AL97" t="str">
        <f>Reagents!$C$43</f>
        <v>-</v>
      </c>
      <c r="AM97">
        <f>Reagents!$D$43</f>
        <v>0</v>
      </c>
      <c r="AN97">
        <f>Reagents!$J$43</f>
        <v>0</v>
      </c>
      <c r="AO97" t="str">
        <f>Reagents!$C$51</f>
        <v>-</v>
      </c>
      <c r="AP97">
        <f>Reagents!$D$51</f>
        <v>0</v>
      </c>
      <c r="AQ97">
        <f>Reagents!$J$51</f>
        <v>0</v>
      </c>
      <c r="AR97">
        <f>'Plate Planning'!$K$18</f>
        <v>0</v>
      </c>
      <c r="AS97">
        <f>'Plate Planning'!$L$18</f>
        <v>0</v>
      </c>
      <c r="AT97">
        <f>'Uncorrected Area Counts'!G99</f>
        <v>0</v>
      </c>
      <c r="AU97" t="e">
        <f>Yields!E99</f>
        <v>#DIV/0!</v>
      </c>
      <c r="AV97">
        <f>'Plate Planning'!$K$19</f>
        <v>0</v>
      </c>
      <c r="AW97">
        <f>'Plate Planning'!$L$19</f>
        <v>0</v>
      </c>
      <c r="AX97">
        <f>'Uncorrected Area Counts'!H99</f>
        <v>0</v>
      </c>
      <c r="AY97" t="e">
        <f>Yields!F99</f>
        <v>#DIV/0!</v>
      </c>
      <c r="AZ97">
        <f>'Plate Planning'!$K$20</f>
        <v>0</v>
      </c>
      <c r="BA97">
        <f>'Plate Planning'!$L$20</f>
        <v>0</v>
      </c>
      <c r="BB97">
        <f>'Uncorrected Area Counts'!I99</f>
        <v>0</v>
      </c>
      <c r="BC97" t="e">
        <f>Yields!G99</f>
        <v>#DIV/0!</v>
      </c>
      <c r="BD97">
        <f>'Plate Planning'!$K$21</f>
        <v>0</v>
      </c>
      <c r="BE97">
        <f>'Plate Planning'!$L$21</f>
        <v>0</v>
      </c>
      <c r="BF97">
        <f>'Uncorrected Area Counts'!J99</f>
        <v>0</v>
      </c>
      <c r="BG97" t="e">
        <f>Yields!H99</f>
        <v>#DIV/0!</v>
      </c>
      <c r="BH97">
        <f>'Plate Planning'!$K$22</f>
        <v>0</v>
      </c>
      <c r="BI97">
        <f>'Plate Planning'!$L$22</f>
        <v>0</v>
      </c>
      <c r="BJ97">
        <f>'Uncorrected Area Counts'!K99</f>
        <v>0</v>
      </c>
      <c r="BK97" t="e">
        <f>Yields!I99</f>
        <v>#DIV/0!</v>
      </c>
      <c r="BL97">
        <f>'Plate Planning'!$K$23</f>
        <v>0</v>
      </c>
      <c r="BM97">
        <f>'Plate Planning'!$L$23</f>
        <v>0</v>
      </c>
      <c r="BN97">
        <f>'Uncorrected Area Counts'!L99</f>
        <v>0</v>
      </c>
      <c r="BO97" t="e">
        <f>Yields!J99</f>
        <v>#DIV/0!</v>
      </c>
      <c r="BP97">
        <f>'Plate Planning'!$K$24</f>
        <v>0</v>
      </c>
      <c r="BQ97">
        <f>'Plate Planning'!$L$24</f>
        <v>0</v>
      </c>
      <c r="BR97">
        <f>'Uncorrected Area Counts'!M99</f>
        <v>0</v>
      </c>
      <c r="BS97" t="e">
        <f>Yields!K99</f>
        <v>#DIV/0!</v>
      </c>
      <c r="BT97">
        <f>'Plate Planning'!$L$17</f>
        <v>0</v>
      </c>
      <c r="BU97">
        <f>'Plate Planning'!$M$17</f>
        <v>0</v>
      </c>
      <c r="BV97">
        <f>'Uncorrected Area Counts'!F99</f>
        <v>0</v>
      </c>
    </row>
    <row r="98" spans="1:74">
      <c r="G98" s="1"/>
      <c r="H98" s="1"/>
      <c r="I98" s="1"/>
      <c r="J9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Plate Planning</vt:lpstr>
      <vt:lpstr>Reagents</vt:lpstr>
      <vt:lpstr>Stock Solution Calculator</vt:lpstr>
      <vt:lpstr>Calibration Curves</vt:lpstr>
      <vt:lpstr>Uncorrected Area Counts</vt:lpstr>
      <vt:lpstr>Yields</vt:lpstr>
      <vt:lpstr>Plate Summary</vt:lpstr>
      <vt:lpstr>reaction_scale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Sampson</dc:creator>
  <cp:lastModifiedBy>Jessica Sampson</cp:lastModifiedBy>
  <dcterms:created xsi:type="dcterms:W3CDTF">2021-12-08T15:45:42Z</dcterms:created>
  <dcterms:modified xsi:type="dcterms:W3CDTF">2023-01-15T14:35:09Z</dcterms:modified>
</cp:coreProperties>
</file>